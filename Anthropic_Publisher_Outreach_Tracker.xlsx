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waquoitcapital/Library/CloudStorage/Dropbox/Career/Current Roles/Turnpage/Development/turnpagedigital.com/"/>
    </mc:Choice>
  </mc:AlternateContent>
  <xr:revisionPtr revIDLastSave="0" documentId="13_ncr:1_{64EEC5C2-2606-B341-9627-2C9A048CC1D8}" xr6:coauthVersionLast="47" xr6:coauthVersionMax="47" xr10:uidLastSave="{00000000-0000-0000-0000-000000000000}"/>
  <bookViews>
    <workbookView xWindow="0" yWindow="900" windowWidth="34200" windowHeight="21100" tabRatio="500" activeTab="1" xr2:uid="{00000000-000D-0000-FFFF-FFFF00000000}"/>
  </bookViews>
  <sheets>
    <sheet name="Contacts" sheetId="1" r:id="rId1"/>
    <sheet name="By Publisher" sheetId="2" r:id="rId2"/>
    <sheet name="README" sheetId="3" r:id="rId3"/>
  </sheets>
  <definedNames>
    <definedName name="_xlnm._FilterDatabase" localSheetId="1" hidden="1">'By Publisher'!$A$1:$K$36</definedName>
    <definedName name="_xlnm._FilterDatabase" localSheetId="0" hidden="1">Contacts!$A$1:$R$65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7" i="2" l="1"/>
  <c r="F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7" i="2" s="1"/>
  <c r="G64" i="1"/>
  <c r="G62" i="1"/>
  <c r="G61" i="1"/>
  <c r="G60" i="1"/>
  <c r="G59" i="1"/>
  <c r="G57" i="1"/>
  <c r="G56" i="1"/>
  <c r="G55" i="1"/>
  <c r="G53" i="1"/>
  <c r="G51" i="1"/>
  <c r="G49" i="1"/>
  <c r="G48" i="1"/>
  <c r="G46" i="1"/>
  <c r="G45" i="1"/>
  <c r="G42" i="1"/>
  <c r="G40" i="1"/>
  <c r="G38" i="1"/>
  <c r="G36" i="1"/>
  <c r="G34" i="1"/>
  <c r="G32" i="1"/>
  <c r="G30" i="1"/>
  <c r="G28" i="1"/>
  <c r="G27" i="1"/>
  <c r="G25" i="1"/>
  <c r="G22" i="1"/>
  <c r="G20" i="1"/>
  <c r="G18" i="1"/>
  <c r="G17" i="1"/>
  <c r="G15" i="1"/>
  <c r="G13" i="1"/>
  <c r="G11" i="1"/>
  <c r="G8" i="1"/>
  <c r="G5" i="1"/>
  <c r="G3" i="1"/>
  <c r="G2" i="1"/>
</calcChain>
</file>

<file path=xl/sharedStrings.xml><?xml version="1.0" encoding="utf-8"?>
<sst xmlns="http://schemas.openxmlformats.org/spreadsheetml/2006/main" count="1355" uniqueCount="481">
  <si>
    <t>#</t>
  </si>
  <si>
    <t>Publisher</t>
  </si>
  <si>
    <t>Parent / Ownership</t>
  </si>
  <si>
    <t>HQ</t>
  </si>
  <si>
    <t>Priority</t>
  </si>
  <si>
    <t>Exposure ($)</t>
  </si>
  <si>
    <t>Payout (70%) ($)</t>
  </si>
  <si>
    <t>Contact Name</t>
  </si>
  <si>
    <t>Role</t>
  </si>
  <si>
    <t>LinkedIn URL</t>
  </si>
  <si>
    <t>Connection</t>
  </si>
  <si>
    <t>Mutual Connections</t>
  </si>
  <si>
    <t>Channel</t>
  </si>
  <si>
    <t>AG Already Touched</t>
  </si>
  <si>
    <t>Outreach Status</t>
  </si>
  <si>
    <t>Last Contact</t>
  </si>
  <si>
    <t>Next Step</t>
  </si>
  <si>
    <t>Notes</t>
  </si>
  <si>
    <t>University Presses (Cambridge, Oxford, et al.)</t>
  </si>
  <si>
    <t>Various non-profit university entities</t>
  </si>
  <si>
    <t>Multiple</t>
  </si>
  <si>
    <t>High</t>
  </si>
  <si>
    <t>General Counsel / VP Legal at each press</t>
  </si>
  <si>
    <t>coordinate via AAUP</t>
  </si>
  <si>
    <t>Email + LinkedIn</t>
  </si>
  <si>
    <t>Pending</t>
  </si>
  <si>
    <t>Likely Cambridge UP, Oxford UP, MIT, Chicago, Princeton, Yale, etc. — break out individually.</t>
  </si>
  <si>
    <t>Springer (Springer Nature)</t>
  </si>
  <si>
    <t>Springer Nature — Holtzbrinck (~53%) &amp; BC Partners</t>
  </si>
  <si>
    <t>Berlin / London</t>
  </si>
  <si>
    <t>Frank Vrancken Peeters</t>
  </si>
  <si>
    <t>CEO</t>
  </si>
  <si>
    <t>Sales Nav search: 'Frank Vrancken Peeters' (1 result)</t>
  </si>
  <si>
    <t>3rd</t>
  </si>
  <si>
    <t>None — no shared connections, groups, or past experiences</t>
  </si>
  <si>
    <t>LinkedIn / Email</t>
  </si>
  <si>
    <t>Profile Found</t>
  </si>
  <si>
    <t>Public via Frankfurt listing (SPG.DE) since 2024. | Confirmed: CEO at Springer Nature (6 yrs 8 mos in role) | Loc: The Hague, South Holland, Netherlands | Note: Active poster on AI/Nature Magazine topics — possible commentary hook for outreach || RESEARCH: Confirmed: CEO Springer Nature, 6 yrs 8 mos in role. Loc: The Hague, NL. Active poster on AI/Nature topics — possible commentary hook. No warm path; needs InMail or IR channel.</t>
  </si>
  <si>
    <t>General Counsel</t>
  </si>
  <si>
    <t>Public via Frankfurt listing (SPG.DE) since 2024.</t>
  </si>
  <si>
    <t>Wiley (John Wiley &amp; Sons)</t>
  </si>
  <si>
    <t>Public (NYSE: WLY)</t>
  </si>
  <si>
    <t>Hoboken, NJ</t>
  </si>
  <si>
    <t>Matthew Kissner</t>
  </si>
  <si>
    <t>Interim CEO</t>
  </si>
  <si>
    <t>Sales Nav search: 'Matthew Kissner Wiley' (1 result)</t>
  </si>
  <si>
    <t>2nd</t>
  </si>
  <si>
    <t>Joshua Pearl (1 mutual) + Shared education</t>
  </si>
  <si>
    <t>LinkedIn / IR</t>
  </si>
  <si>
    <t>Mutuals Mapped</t>
  </si>
  <si>
    <t>Public co — IR contact a viable channel. || RESEARCH: ROLE UPDATE: Now President &amp; CEO (1 yr 10 mos) — promoted from Interim CEO in 2024. WARM PATH via Joshua Pearl. Bayville, NY.</t>
  </si>
  <si>
    <t>Christina Van Tassell</t>
  </si>
  <si>
    <t>CFO</t>
  </si>
  <si>
    <t>Sales Nav search: 'Christina Van Tassell Wiley' (1 result)</t>
  </si>
  <si>
    <t>None visible</t>
  </si>
  <si>
    <t>STALE — UPDATE NEEDED</t>
  </si>
  <si>
    <t>Public co — IR contact a viable channel. || RESEARCH: STALE: Left Wiley in 2024. Now Member, Board of Directors at Empire State Realty Trust (NYSE:ESRT). NEED CURRENT WILEY CFO.</t>
  </si>
  <si>
    <t>Deirdre Silver</t>
  </si>
  <si>
    <t>Chief Legal Officer</t>
  </si>
  <si>
    <t>Public co — IR contact a viable channel.</t>
  </si>
  <si>
    <t>HarperCollins</t>
  </si>
  <si>
    <t>News Corp (NASDAQ: NWSA)</t>
  </si>
  <si>
    <t>New York, NY</t>
  </si>
  <si>
    <t>Brian Murray</t>
  </si>
  <si>
    <t>Sales Nav search: 'Brian Murray HarperCollins' (2 results — top is correct)</t>
  </si>
  <si>
    <t>LinkedIn / Litigation counsel</t>
  </si>
  <si>
    <t>Mintz &amp; Gold litigation counsel of record (Terence McCormick TERMINATED 1/8/26). || RESEARCH: Confirmed: President &amp; CEO HarperCollins Publishers, 17 yrs 11 mos in role, 29 yrs 3 mos at company. NYC. No warm path; route via Mintz &amp; Gold lit counsel or News Corp IR.</t>
  </si>
  <si>
    <t>David Boxer</t>
  </si>
  <si>
    <t>Mintz &amp; Gold litigation counsel of record (Terence McCormick TERMINATED 1/8/26).</t>
  </si>
  <si>
    <t>Penguin Random House</t>
  </si>
  <si>
    <t>Bertelsmann (private, Germany)</t>
  </si>
  <si>
    <t>Nihar Malaviya</t>
  </si>
  <si>
    <t>CEO PRH</t>
  </si>
  <si>
    <t>LinkedIn</t>
  </si>
  <si>
    <t>Yes</t>
  </si>
  <si>
    <t>[AG] AG already reached out to CFO via LinkedIn</t>
  </si>
  <si>
    <t>CFO PRH US</t>
  </si>
  <si>
    <t>Taylor &amp; Francis (Informa)</t>
  </si>
  <si>
    <t>Informa plc (LSE: INF)</t>
  </si>
  <si>
    <t>Abingdon, UK</t>
  </si>
  <si>
    <t>Annie Callanan</t>
  </si>
  <si>
    <t>CEO Taylor &amp; Francis</t>
  </si>
  <si>
    <t>Includes Routledge — same parent (also listed separately below).</t>
  </si>
  <si>
    <t>Stephen A. Carter</t>
  </si>
  <si>
    <t>Group CEO Informa</t>
  </si>
  <si>
    <t>Elsevier</t>
  </si>
  <si>
    <t>RELX plc (LSE: REL / NYSE: RELX)</t>
  </si>
  <si>
    <t>Amsterdam</t>
  </si>
  <si>
    <t>Kumsal Bayazit</t>
  </si>
  <si>
    <t>CEO Elsevier</t>
  </si>
  <si>
    <t>Sales Nav search: 'Kumsal Bayazit Elsevier' (1 result)</t>
  </si>
  <si>
    <t>RESEARCH: Confirmed: CEO Elsevier, 7 yrs 3 mos in role. London, UK. No warm path; route via RELX IR or RELX GC.</t>
  </si>
  <si>
    <t>RELX General Counsel</t>
  </si>
  <si>
    <t>Random House (likely PRH duplicate)</t>
  </si>
  <si>
    <t>Bertelsmann</t>
  </si>
  <si>
    <t>Verify</t>
  </si>
  <si>
    <t>See Penguin row — likely same entity</t>
  </si>
  <si>
    <t>Confirm whether 'Random' and 'Penguin' are separate ledger entries. | [AG] AG reached out to CFO via LinkedIn</t>
  </si>
  <si>
    <t>McGraw Hill</t>
  </si>
  <si>
    <t>Platinum Equity (private)</t>
  </si>
  <si>
    <t>Simon Allen</t>
  </si>
  <si>
    <t>Filed to IPO 2024 then withdrew; PE-owned.</t>
  </si>
  <si>
    <t>Simon &amp; Schuster</t>
  </si>
  <si>
    <t>KKR (private)</t>
  </si>
  <si>
    <t>Jonathan Karp</t>
  </si>
  <si>
    <t>KKR acquired from Paramount in 2023.</t>
  </si>
  <si>
    <t>Richard Sarnoff</t>
  </si>
  <si>
    <t>Chairman, KKR</t>
  </si>
  <si>
    <t>Kensington Publishing</t>
  </si>
  <si>
    <t>Independent — Zacharius family</t>
  </si>
  <si>
    <t>Med-High</t>
  </si>
  <si>
    <t>Steven Zacharius</t>
  </si>
  <si>
    <t>CEO/Chairman</t>
  </si>
  <si>
    <t>LinkedIn / Direct email</t>
  </si>
  <si>
    <t>Family-run — Steven Zacharius is known to respond personally.</t>
  </si>
  <si>
    <t>Michael Rosamilia</t>
  </si>
  <si>
    <t>Adam Zacharius</t>
  </si>
  <si>
    <t>GM</t>
  </si>
  <si>
    <t>Pearson</t>
  </si>
  <si>
    <t>Public (LSE: PSON)</t>
  </si>
  <si>
    <t>London, UK</t>
  </si>
  <si>
    <t>Omar Abbosh</t>
  </si>
  <si>
    <t>Existing AG contact</t>
  </si>
  <si>
    <t>[AG] AG has call with Senior Executive that owns Anthropic Account</t>
  </si>
  <si>
    <t>Sally Johnson</t>
  </si>
  <si>
    <t>Routledge</t>
  </si>
  <si>
    <t>Taylor &amp; Francis / Informa plc</t>
  </si>
  <si>
    <t>Med</t>
  </si>
  <si>
    <t>See Taylor &amp; Francis row</t>
  </si>
  <si>
    <t>same parent</t>
  </si>
  <si>
    <t>Combine w/ T&amp;F</t>
  </si>
  <si>
    <t>Imprint of Taylor &amp; Francis.</t>
  </si>
  <si>
    <t>Bloomsbury</t>
  </si>
  <si>
    <t>Public (LSE: BMY)</t>
  </si>
  <si>
    <t>Nigel Newton</t>
  </si>
  <si>
    <t>Founder/CEO</t>
  </si>
  <si>
    <t>Penny Scott-Bayfield</t>
  </si>
  <si>
    <t>Macmillan</t>
  </si>
  <si>
    <t>Holtzbrinck Publishing Group (private, Germany)</t>
  </si>
  <si>
    <t>Jon Yaged</t>
  </si>
  <si>
    <t>CEO Macmillan US</t>
  </si>
  <si>
    <t>Same parent (Holtzbrinck) as Springer Nature.</t>
  </si>
  <si>
    <t>Houghton Mifflin Harcourt (HMH)</t>
  </si>
  <si>
    <t>Veritas Capital (private)</t>
  </si>
  <si>
    <t>Boston, MA</t>
  </si>
  <si>
    <t>Jack Lynch</t>
  </si>
  <si>
    <t>[AG] AG reached out to Senior Legal Exec via LinkedIn</t>
  </si>
  <si>
    <t>Senior Legal Exec</t>
  </si>
  <si>
    <t>existing AG contact</t>
  </si>
  <si>
    <t>W.W. Norton &amp; Company</t>
  </si>
  <si>
    <t>Independent — Employee-owned</t>
  </si>
  <si>
    <t>Julia A. Reidhead</t>
  </si>
  <si>
    <t>Chairman &amp; President</t>
  </si>
  <si>
    <t>LinkedIn / Direct</t>
  </si>
  <si>
    <t>100% employee-owned — unusual ownership.</t>
  </si>
  <si>
    <t>Hachette Book Group</t>
  </si>
  <si>
    <t>Lagardère Publishing / Vivendi (FR)</t>
  </si>
  <si>
    <t>David Shelley</t>
  </si>
  <si>
    <t>CEO Hachette Book Group US/UK</t>
  </si>
  <si>
    <t>Cengage</t>
  </si>
  <si>
    <t>Apollo Global Management (private)</t>
  </si>
  <si>
    <t>Hans Gieskes</t>
  </si>
  <si>
    <t>CEO, current</t>
  </si>
  <si>
    <t>[AG] AG reached out to former CEO via LinkedIn</t>
  </si>
  <si>
    <t>Michael Hansen</t>
  </si>
  <si>
    <t>former CEO, AG contact</t>
  </si>
  <si>
    <t>O'Reilly Media</t>
  </si>
  <si>
    <t>Independent — Tim O'Reilly</t>
  </si>
  <si>
    <t>Sebastopol, CA</t>
  </si>
  <si>
    <t>Tim O'Reilly</t>
  </si>
  <si>
    <t>Tim O'Reilly publicly active on AI/copyright issues — may be sympathetic.</t>
  </si>
  <si>
    <t>Laura Baldwin</t>
  </si>
  <si>
    <t>President</t>
  </si>
  <si>
    <t>Scholastic</t>
  </si>
  <si>
    <t>Public (NASDAQ: SCHL)</t>
  </si>
  <si>
    <t>Peter Warwick</t>
  </si>
  <si>
    <t>Haji Glover</t>
  </si>
  <si>
    <t>Sourcebooks</t>
  </si>
  <si>
    <t>Penguin Random House (75%) / Raccah (25%)</t>
  </si>
  <si>
    <t>Naperville, IL</t>
  </si>
  <si>
    <t>Low-Med</t>
  </si>
  <si>
    <t>Dominique Raccah</t>
  </si>
  <si>
    <t>Coordinate w/ PRH</t>
  </si>
  <si>
    <t>Now majority owned by PRH — may roll into Penguin contact.</t>
  </si>
  <si>
    <t>SAGE Publications</t>
  </si>
  <si>
    <t>Sage Publishing (private, Sara Miller McCune)</t>
  </si>
  <si>
    <t>Thousand Oaks, CA</t>
  </si>
  <si>
    <t>Blaise Simqu</t>
  </si>
  <si>
    <t>Sara Miller McCune</t>
  </si>
  <si>
    <t>Founder/Exec Chair</t>
  </si>
  <si>
    <t>Grove Atlantic</t>
  </si>
  <si>
    <t>Independent — Morgan Entrekin</t>
  </si>
  <si>
    <t>Low</t>
  </si>
  <si>
    <t>Morgan Entrekin</t>
  </si>
  <si>
    <t>President &amp; Publisher</t>
  </si>
  <si>
    <t>Small independent — direct call viable.</t>
  </si>
  <si>
    <t>Chronicle Books</t>
  </si>
  <si>
    <t>McEvoy Group (private, family-owned)</t>
  </si>
  <si>
    <t>San Francisco, CA</t>
  </si>
  <si>
    <t>Tyrrell Mahoney</t>
  </si>
  <si>
    <t>Tyndale House Publishers</t>
  </si>
  <si>
    <t>Tyndale House Foundation (non-profit)</t>
  </si>
  <si>
    <t>Carol Stream, IL</t>
  </si>
  <si>
    <t>Scott Mathews</t>
  </si>
  <si>
    <t>Christian publisher — owned by foundation.</t>
  </si>
  <si>
    <t>Mark D. Taylor</t>
  </si>
  <si>
    <t>Chairman</t>
  </si>
  <si>
    <t>Abrams (Harry N. Abrams)</t>
  </si>
  <si>
    <t>La Martinière Groupe / Editis (FR)</t>
  </si>
  <si>
    <t>Mary McAveney</t>
  </si>
  <si>
    <t>CEO Abrams</t>
  </si>
  <si>
    <t>Skyhorse Publishing</t>
  </si>
  <si>
    <t>Independent — Tony Lyons</t>
  </si>
  <si>
    <t>Tony Lyons</t>
  </si>
  <si>
    <t>Founder/President &amp; Publisher</t>
  </si>
  <si>
    <t>Independent; distributed by S&amp;S; also owns Regnery.</t>
  </si>
  <si>
    <t>Dover Publications</t>
  </si>
  <si>
    <t>Ingram Content Group (private)</t>
  </si>
  <si>
    <t>Mineola, NY</t>
  </si>
  <si>
    <t>John Ingram</t>
  </si>
  <si>
    <t>Chairman, Ingram</t>
  </si>
  <si>
    <t>Acquired by Ingram in 2015.</t>
  </si>
  <si>
    <t>Candlewick Press</t>
  </si>
  <si>
    <t>Walker Books Group (UK, private)</t>
  </si>
  <si>
    <t>Somerville, MA</t>
  </si>
  <si>
    <t>Karen Lotz</t>
  </si>
  <si>
    <t>Workman Publishing</t>
  </si>
  <si>
    <t>See Hachette row — acquired 2021</t>
  </si>
  <si>
    <t>Combine w/ Hachette</t>
  </si>
  <si>
    <t>Imprint of Hachette since 2021.</t>
  </si>
  <si>
    <t>Hyperion (likely Disney/Hachette imprint)</t>
  </si>
  <si>
    <t>Verify — Hachette (adult) or Disney</t>
  </si>
  <si>
    <t>TBD pending entity confirmation</t>
  </si>
  <si>
    <t>TBD</t>
  </si>
  <si>
    <t>Hyperion adult sold to Hachette 2013; children's remained Disney.</t>
  </si>
  <si>
    <t>Sterling Publishing</t>
  </si>
  <si>
    <t>Independent — Spruce Books / Whitman</t>
  </si>
  <si>
    <t>Verify current ownership/leadership</t>
  </si>
  <si>
    <t>Sold by B&amp;N to Whitman Publishing 2020.</t>
  </si>
  <si>
    <t>B&amp;H Publishing Group</t>
  </si>
  <si>
    <t>Lifeway Christian Resources (non-profit)</t>
  </si>
  <si>
    <t>Brentwood, TN</t>
  </si>
  <si>
    <t>Ben Mandrell</t>
  </si>
  <si>
    <t>CEO Lifeway</t>
  </si>
  <si>
    <t>Christian publisher; non-profit parent.</t>
  </si>
  <si>
    <t>B&amp;H Publisher</t>
  </si>
  <si>
    <t>Disney Publishing Worldwide</t>
  </si>
  <si>
    <t>The Walt Disney Company (NYSE: DIS)</t>
  </si>
  <si>
    <t>Glendale, CA</t>
  </si>
  <si>
    <t>Disney Consumer Products / Publishing leadership</t>
  </si>
  <si>
    <t>Formal channel</t>
  </si>
  <si>
    <t>Smallest publisher; corporate process likely required.</t>
  </si>
  <si>
    <t>Disney Legal</t>
  </si>
  <si>
    <t>▼ ADDITIONAL CONTACTS DISCOVERED IN SALES NAV RESEARCH ▼</t>
  </si>
  <si>
    <t>Craig Albright</t>
  </si>
  <si>
    <t>EVP &amp; CFO (current)</t>
  </si>
  <si>
    <t>Sales Nav: 'Craig Albright Wiley'</t>
  </si>
  <si>
    <t>RESEARCH (NEW): NEW CFO replacing Van Tassell. EVP &amp; CFO Wiley, 11 mos in role (joined ~Nov 2025). Rochester, NY. Past: Founder Albright Strategy &amp; Capital. No warm path.</t>
  </si>
  <si>
    <t>Christopher Caridi</t>
  </si>
  <si>
    <t>SVP, Chief Accounting Office &amp; Finance Transformation Lead</t>
  </si>
  <si>
    <t>Sales Nav: 'Christopher Caridi Wiley'</t>
  </si>
  <si>
    <t>1 mutual + shared education</t>
  </si>
  <si>
    <t>RESEARCH (NEW): WARM PATH into Wiley finance. 9 yrs 2 mos at Wiley. Was Interim CFO 2024-2025. Could intro to Albright (CFO). NYC.</t>
  </si>
  <si>
    <t>Daniel Schwartz</t>
  </si>
  <si>
    <t>CFO (current corporate-wide)</t>
  </si>
  <si>
    <t>Sales Nav: 'HarperCollins CFO' top result</t>
  </si>
  <si>
    <t>RESEARCH (NEW): REPLACES David Boxer — Boxer not found on LinkedIn under HarperCollins; Schwartz is CFO of HarperCollins Publishers, NYC, 3 yrs 4 mos in role. Past CFO at Macmillan.</t>
  </si>
  <si>
    <t>Simon Dowson-Collins</t>
  </si>
  <si>
    <t>General Counsel &amp; Company Secretary (UK/Global)</t>
  </si>
  <si>
    <t>Sales Nav: 'HarperCollins General Counsel' result 3</t>
  </si>
  <si>
    <t>1 shared group</t>
  </si>
  <si>
    <t>RESEARCH (NEW): Most senior HarperCollins GC. London, 12 yrs 1 mo in role, 24 yrs 5 mos at HarperCollins. Was Director Legal Affairs 2001-2014. Likely the right legal contact for global matters.</t>
  </si>
  <si>
    <t>Jesse Feitel</t>
  </si>
  <si>
    <t>Associate General Counsel (NYC)</t>
  </si>
  <si>
    <t>Sales Nav: 'HarperCollins General Counsel' result 1</t>
  </si>
  <si>
    <t>1 mutual</t>
  </si>
  <si>
    <t>RESEARCH (NEW): WARM PATH into HarperCollins legal. NYC, 1 yr in role. Past: White House Office of Counsel to VP — political/legal cred. Could be the practical contact for US claim conversations.</t>
  </si>
  <si>
    <t>Mike Bzozowski</t>
  </si>
  <si>
    <t>Assistant General Counsel</t>
  </si>
  <si>
    <t>Sales Nav: 'HarperCollins General Counsel' result 2</t>
  </si>
  <si>
    <t>1 mutual + shared groups + 2 recent posts</t>
  </si>
  <si>
    <t>RESEARCH (NEW): WARM PATH alt. Nashville, 1 yr 2 mos at HarperCollins. 4 yrs 6 mos at HarperCollins Christian (Business Affairs Counsel) prior. Active poster on LinkedIn.</t>
  </si>
  <si>
    <t>Alexandra Dambeck</t>
  </si>
  <si>
    <t>CFO &amp; Member of Management Board (current)</t>
  </si>
  <si>
    <t>Sales Nav: 'Springer Nature CFO' result 1</t>
  </si>
  <si>
    <t>RESEARCH (NEW): Group CFO Springer Nature, Germany, 2 yrs 4 mos in role. Past: Fresenius Medical Care (SVP CFO Global Manufacturing). No mutuals; 1 shared group.</t>
  </si>
  <si>
    <t>Itai Maytal</t>
  </si>
  <si>
    <t>Head of Legal (U.S.) — Springer Nature Group</t>
  </si>
  <si>
    <t>Sales Nav: 'Springer Nature General Counsel' result 1</t>
  </si>
  <si>
    <t>31 mutual connections + shared education + shared groups</t>
  </si>
  <si>
    <t>RESEARCH (NEW): BEST WARM PATH IN ENTIRE LIST. NYC, 3 yrs 4 mos in role, 10 yrs 1 mo at Springer Nature. Past: Senior Legal Counsel SN 2016-2022. 31 mutuals = exceptional. THE play for Springer US.</t>
  </si>
  <si>
    <t>Rachel Jacobs</t>
  </si>
  <si>
    <t>Group General Counsel (global)</t>
  </si>
  <si>
    <t>Sales Nav: 'Springer Nature General Counsel' result 2</t>
  </si>
  <si>
    <t>RESEARCH (NEW): Most senior SN legal globally. UK, 11 yrs in role. Past: Macmillan Science &amp; Education Global GC (same Holtzbrinck parent). Route via Maytal.</t>
  </si>
  <si>
    <t>Helen Lowe</t>
  </si>
  <si>
    <t>VP Strategy &amp; Operations, GCO (General Counsel Office)</t>
  </si>
  <si>
    <t>Sales Nav: 'Springer Nature General Counsel' result 4</t>
  </si>
  <si>
    <t>2 mutual connections</t>
  </si>
  <si>
    <t>RESEARCH (NEW): Backup warm path. Manchester UK, 7 mos in role. 2 mutuals. Operations-side of GC office — could route to Jacobs/Maytal.</t>
  </si>
  <si>
    <t>Mark Dennis</t>
  </si>
  <si>
    <t>General Counsel, Taylor &amp; Francis (current)</t>
  </si>
  <si>
    <t>Sales Nav: 'Informa General Counsel Group' result 5</t>
  </si>
  <si>
    <t>RESEARCH (NEW): GC specifically for Taylor &amp; Francis (vs. Informa group). London, 3 yrs 2 mos in role, 11 yrs 11 mos at Informa. Past: Head of Legal T&amp;F Group EMEA &amp; APAC.</t>
  </si>
  <si>
    <t>Gareth Wright</t>
  </si>
  <si>
    <t>Group Finance Director (Informa) — CFO equivalent</t>
  </si>
  <si>
    <t>Sales Nav: 'Gareth Wright Informa' (1 result)</t>
  </si>
  <si>
    <t>RESEARCH (NEW): Informa Group FD (CFO equivalent). London, 11 yrs 10 mos in role, 16 yrs 5 mos at Informa. NOTE: Verify if still Group FD or if Informa has appointed a separate Group CFO recently.</t>
  </si>
  <si>
    <t>Stephen Bolinger</t>
  </si>
  <si>
    <t>Chief Privacy Officer &amp; GC Privacy (Informa)</t>
  </si>
  <si>
    <t>Sales Nav: 'Informa General Counsel Group' result 3</t>
  </si>
  <si>
    <t>3 mutual connections + 2 recent posts on LinkedIn</t>
  </si>
  <si>
    <t>RESEARCH (NEW): WARM PATH into Informa legal. London, 3 yrs 8 mos in role. Active LinkedIn poster. Privacy/data lens — relevant to AI training data conversation.</t>
  </si>
  <si>
    <t>Colleen Sorrell Welker</t>
  </si>
  <si>
    <t>VP &amp; Assistant GC, HR Americas (Informa)</t>
  </si>
  <si>
    <t>Sales Nav: 'Informa General Counsel Group' result 4</t>
  </si>
  <si>
    <t>2 mutual connections + shared groups</t>
  </si>
  <si>
    <t>RESEARCH (NEW): WARM PATH alt. NYC, 11 mos in role. Past: TelevisaUnivision VP Asst GC. Could intro to Mark Dennis (T&amp;F GC) or Sheikh Shaghaf (GC Informa Connect).</t>
  </si>
  <si>
    <t>Sheikh Shaghaf</t>
  </si>
  <si>
    <t>General Counsel &amp; SVP, Informa Connect (Informa)</t>
  </si>
  <si>
    <t>Sales Nav: 'Informa General Counsel Group' result 1</t>
  </si>
  <si>
    <t>RESEARCH (NEW): GC for Informa Connect (events division). NYC, 1 yr 2 mos in role, 11 yrs 1 mo at Informa. Different division from T&amp;F but parent legal team.</t>
  </si>
  <si>
    <t>Kenneth Thompson II</t>
  </si>
  <si>
    <t>Chief Compliance Officer &amp; GC - IP, Privacy &amp; Governance (RELX Group)</t>
  </si>
  <si>
    <t>Sales Nav: 'RELX General Counsel Group' result 5</t>
  </si>
  <si>
    <t>RESEARCH (NEW): BEST RELX LEGAL TARGET FOR AI/IP MATTERS. Cincinnati, 9 yrs 1 mo at RELX. His portfolio (IP, Privacy, Governance) is exactly the lens for the AI copyright settlement. Use Amber Elias or other 2nd-degree contacts to route in.</t>
  </si>
  <si>
    <t>Amber Elias</t>
  </si>
  <si>
    <t>Associate General Counsel - Employment (RELX)</t>
  </si>
  <si>
    <t>Sales Nav: 'RELX General Counsel Group' result 3</t>
  </si>
  <si>
    <t>4 mutual connections</t>
  </si>
  <si>
    <t>RESEARCH (NEW): WARM PATH into RELX legal. Massachusetts, 3 yrs 4 mos in role, 9 yrs 5 mos at RELX. 4 mutuals. Could intro to Kenneth Thompson II or Group GC.</t>
  </si>
  <si>
    <t>Jen Winterhalder</t>
  </si>
  <si>
    <t>Associate GC - Intellectual Property (RELX)</t>
  </si>
  <si>
    <t>Sales Nav: 'RELX General Counsel Group' result 2</t>
  </si>
  <si>
    <t>RESEARCH (NEW): IP-FOCUSED. London, 1 yr 1 mo in role. Direct relevance to AI copyright matter.</t>
  </si>
  <si>
    <t>Karen Shaffer-Levy</t>
  </si>
  <si>
    <t>Associate GC (RELX Group)</t>
  </si>
  <si>
    <t>Sales Nav: 'RELX General Counsel Group' result 4</t>
  </si>
  <si>
    <t>Shared education + shared groups</t>
  </si>
  <si>
    <t>RESEARCH (NEW): MA-based, 22 yrs 8 mos in role at RELX (very long tenure). Shared education + shared groups.</t>
  </si>
  <si>
    <t>Bob Sallmann</t>
  </si>
  <si>
    <t>Chief Financial Officer (current)</t>
  </si>
  <si>
    <t>Sales Nav: 'McGraw Hill CFO' result 3</t>
  </si>
  <si>
    <t>RESEARCH (NEW): Current corporate CFO McGraw Hill, Chicago, 2 yrs 1 mo in role. Past: Laird Connectivity CFO.</t>
  </si>
  <si>
    <t>Kimberly Anderson</t>
  </si>
  <si>
    <t>CFO US Higher Education</t>
  </si>
  <si>
    <t>Sales Nav: 'McGraw Hill CFO' result 5</t>
  </si>
  <si>
    <t>1 mutual connection</t>
  </si>
  <si>
    <t>RESEARCH (NEW): WARM PATH (segment-specific). Ohio, 10 mos in role. CFO of US Higher Ed segment.</t>
  </si>
  <si>
    <t>David Stafford</t>
  </si>
  <si>
    <t>EVP, General Counsel and Secretary (current)</t>
  </si>
  <si>
    <t>Sales Nav: 'McGraw Hill General Counsel' result 2</t>
  </si>
  <si>
    <t>None visible (but 2nd-degree direct)</t>
  </si>
  <si>
    <t>RESEARCH (NEW): DIRECT 2ND-DEGREE TO MOST SENIOR LEGAL. NYC, 14 yrs in role, 14 yrs at company. Past: S&amp;P Global SVP &amp; Associate GC. Strong candidate for direct connection request.</t>
  </si>
  <si>
    <t>Suzanne Telsey</t>
  </si>
  <si>
    <t>Associate GC · McGraw Hill LLC</t>
  </si>
  <si>
    <t>Sales Nav: 'McGraw Hill General Counsel' result 4</t>
  </si>
  <si>
    <t>4 mutual connections + shared groups</t>
  </si>
  <si>
    <t>RESEARCH (NEW): WARM PATH. NYC, 25 yrs 8 mos in role (joined ~2000). Past: DeAgostini USA / Atlas Editions VP &amp; GC. Long-tenured = institutional credibility.</t>
  </si>
  <si>
    <t>Allen Lindstrom</t>
  </si>
  <si>
    <t>EVP, Chief Financial Officer (current)</t>
  </si>
  <si>
    <t>Sales Nav: 'Simon &amp; Schuster CFO' result 1</t>
  </si>
  <si>
    <t>RESEARCH (NEW): Current S&amp;S CFO, NJ, 2 yrs 1 mo in role. PE portfolio company experience — relevant to KKR ownership.</t>
  </si>
  <si>
    <t>Greg W. Greeley</t>
  </si>
  <si>
    <t>CEO (recently hired — VERIFY vs Karp)</t>
  </si>
  <si>
    <t>Sales Nav: 'Simon &amp; Schuster CFO' result 4</t>
  </si>
  <si>
    <t>RESEARCH (NEW): POSSIBLE NEW CEO. 2 mos in role, 'Recently hired' badge. Past: Amazon VP Worldwide Retail Finance &amp; CFO International. VERIFY whether he replaced Jonathan Karp or is CEO of an S&amp;S division. 2nd-degree, 2 mutuals.</t>
  </si>
  <si>
    <t>Veronica Jordan</t>
  </si>
  <si>
    <t>EVP &amp; General Counsel (current)</t>
  </si>
  <si>
    <t>Sales Nav: 'Simon &amp; Schuster General Counsel' result 1</t>
  </si>
  <si>
    <t>RESEARCH (NEW): PRIME WARM PATH. NYC, 7 yrs 1 mo as GC, 30 yrs 7 mos at S&amp;S. 4 mutuals. The right legal contact, with a real warm path. Send connection request.</t>
  </si>
  <si>
    <t>Victor Hendrickson</t>
  </si>
  <si>
    <t>VP Counsel · S&amp;S</t>
  </si>
  <si>
    <t>Sales Nav: 'Simon &amp; Schuster General Counsel' result 4</t>
  </si>
  <si>
    <t>3 mutual connections + past colleague</t>
  </si>
  <si>
    <t>RESEARCH (NEW): WARM PATH alt. NYC, 3 yrs 4 mos in role. 'Past colleague' badge — you may have worked with someone who worked with him. Past: Penske Media VP &amp; Associate GC.</t>
  </si>
  <si>
    <t>Andrew Jacobs</t>
  </si>
  <si>
    <t>Associate General Counsel (Macmillan US)</t>
  </si>
  <si>
    <t>Sales Nav: 'Macmillan Publishers General Counsel' result 5</t>
  </si>
  <si>
    <t>3 mutual connections</t>
  </si>
  <si>
    <t>RESEARCH (NEW): BEST WARM PATH FOR MACMILLAN. NYC, 1 yr 2 mos at Macmillan. Past: HarperCollins Assistant GC (5 yrs 3 mos) — cross-publisher experience. 3 mutuals.</t>
  </si>
  <si>
    <t>Amy Wolosoff</t>
  </si>
  <si>
    <t>Sales Nav: 'Macmillan Publishers General Counsel' result 2</t>
  </si>
  <si>
    <t>1 mutual + shared groups</t>
  </si>
  <si>
    <t>RESEARCH (NEW): WARM PATH with deep tenure. NYC, 27 yrs 3 mos in role/at Macmillan. 1 mutual. Long-tenured insider — likely knows the Holtzbrinck/Macmillan structure deeply.</t>
  </si>
  <si>
    <t>Pamela Nadarajah</t>
  </si>
  <si>
    <t>Deputy General Counsel · Macmillan Publishers International</t>
  </si>
  <si>
    <t>Sales Nav: 'Macmillan Publishers General Counsel' result 1</t>
  </si>
  <si>
    <t>Shared groups</t>
  </si>
  <si>
    <t>RESEARCH (NEW): Cambridge UK, 3 yrs 1 mo as Deputy GC. 'Recently hired' badge. Past: Macmillan Associate GC. Top legal title we found at Macmillan; full GC may sit at Holtzbrinck parent.</t>
  </si>
  <si>
    <t>Alice Fradin</t>
  </si>
  <si>
    <t>Head of Privacy/Associate GC · Macmillan Publishers</t>
  </si>
  <si>
    <t>Sales Nav: 'Macmillan Publishers General Counsel' result 4</t>
  </si>
  <si>
    <t>RESEARCH (NEW): PRIVACY-FOCUSED — relevant for AI/training data discussion. NYC, 10 yrs 4 mos in role, 17 yrs 8 mos at Macmillan. Long tenure.</t>
  </si>
  <si>
    <t>Penny Scott-Bayfield (STALE)</t>
  </si>
  <si>
    <t>Former CFO Bloomsbury Plc — left 2026</t>
  </si>
  <si>
    <t>Sales Nav: 'Penny Scott-Bayfield Bloomsbury'</t>
  </si>
  <si>
    <t>None</t>
  </si>
  <si>
    <t>RESEARCH (NEW): STALE. Now Trustee/Treasurer at Royal Cruising Club Pilotage Foundation (1 mo). Was Bloomsbury Plc CFO 2018-2026 (7 yrs 8 mos). Bloomsbury's new CFO not yet identified on LinkedIn — verify via 2026 annual report or Bloomsbury IR.</t>
  </si>
  <si>
    <t>Tom Maciag</t>
  </si>
  <si>
    <t>CFO Hachette Book Group (current)</t>
  </si>
  <si>
    <t>Sales Nav: 'Hachette Book Group CFO' result 3</t>
  </si>
  <si>
    <t>Out-of-network</t>
  </si>
  <si>
    <t>Profile restricted</t>
  </si>
  <si>
    <t>RESEARCH (NEW): Confirmed CFO HBG, NYC. Profile shows restricted view (out-of-network). Direct connection request may not be possible; route via senior team or InMail.</t>
  </si>
  <si>
    <t>Jennifer Philbrick McArdle</t>
  </si>
  <si>
    <t>VP, Deputy General Counsel (Hachette Book Group)</t>
  </si>
  <si>
    <t>Sales Nav: 'Hachette Book Group General Counsel' result 1</t>
  </si>
  <si>
    <t>RESEARCH (NEW): Deputy GC. NYC, 4 yrs 9 mos in role. 2nd-degree direct, 1 mutual. With Carol Ross retired (was GC 1983-2020), McArdle may be acting GC or reports to a new GC.</t>
  </si>
  <si>
    <t>"Andrew G." (privacy hidden)</t>
  </si>
  <si>
    <t>Senior Counsel · Hachette Book Group</t>
  </si>
  <si>
    <t>Sales Nav: 'Hachette Book Group General Counsel' result 2</t>
  </si>
  <si>
    <t>6 mutual connections + shared education + shared groups</t>
  </si>
  <si>
    <t>RESEARCH (NEW): BEST WARM PATH for Hachette. NYC, 7 yrs 6 mos at HBG. Past: Time Inc. Assistant GC. 6 mutuals = strong path. Name partially hidden ("Andrew G.") — Send connection request to see full profile.</t>
  </si>
  <si>
    <t>Carol Ross (RETIRED)</t>
  </si>
  <si>
    <t>Former EVP Business Affairs &amp; GC — retired 2020</t>
  </si>
  <si>
    <t>Sales Nav: 'Hachette Book Group General Counsel' result 3</t>
  </si>
  <si>
    <t>STALE</t>
  </si>
  <si>
    <t>RESEARCH (NEW): RETIRED. 37-year HBG tenure (1983-2020) as EVP Business Affairs &amp; GC. Listed as 'retired' on LinkedIn but currently 'VP Legal &amp; Business Affairs HBG (retired)'. Not for outreach.</t>
  </si>
  <si>
    <t>CFO, EVP (current — confirmed)</t>
  </si>
  <si>
    <t>Sales Nav: 'Scholastic Haji Glover'</t>
  </si>
  <si>
    <t>RESEARCH (NEW): CONFIRMED current CFO/EVP Scholastic. 2 yrs 4 mos in role. Internally promoted from SVP Corporate Finance (2020-2022). 3rd-degree, no mutuals.</t>
  </si>
  <si>
    <t>Andy Hedden</t>
  </si>
  <si>
    <t>General Counsel · Scholastic (current)</t>
  </si>
  <si>
    <t>Sales Nav: 'Scholastic General Counsel' result 4</t>
  </si>
  <si>
    <t>None visible (profile restricted)</t>
  </si>
  <si>
    <t>RESEARCH (NEW): Current Scholastic GC. NYC. Profile is restricted ("in role | in company" with no times shown). Hard to reach directly — route via Mark Seidenfeld.</t>
  </si>
  <si>
    <t>Mark Seidenfeld</t>
  </si>
  <si>
    <t>SVP and Deputy General Counsel · Scholastic Inc.</t>
  </si>
  <si>
    <t>Sales Nav: 'Scholastic General Counsel' result 1</t>
  </si>
  <si>
    <t>RESEARCH (NEW): WARM PATH (2nd-degree direct). NYC, 7 mos in current role but 14 yrs 7 mos at Scholastic as Counsel. Internal promotion. Better entry than the GC since Hedden's profile is locked.</t>
  </si>
  <si>
    <t>Founder, Chairman and CEO (verified)</t>
  </si>
  <si>
    <t>Sales Nav: 'Tim O'Reilly Founder' result 2</t>
  </si>
  <si>
    <t>2 mutual connections + 2 recent posts on LinkedIn</t>
  </si>
  <si>
    <t>RESEARCH (NEW): WARM PATH + ACTIVE POSTER. Sebastopol CA, 43 yrs 2 mos in role (founded 1980s). 2nd-degree, 2 mutuals. Active LinkedIn poster on AI/copyright. Per spreadsheet: 'publicly active on AI/copyright issues — may be sympathetic'. Top-tier direct outreach target.</t>
  </si>
  <si>
    <t>Steven Zacharius (verified)</t>
  </si>
  <si>
    <t>President and CEO · Kensington Publishing Corp.</t>
  </si>
  <si>
    <t>Sales Nav: 'Steven Zacharius Kensington' result 1</t>
  </si>
  <si>
    <t>RESEARCH (NEW): VERIFIED. NYC, 32 yrs 10 mos in role (family business). 3rd-degree, no mutuals. Per spreadsheet note: 'Family-run — Steven Zacharius known to respond personally'. Direct email/InMail outreach is the play.</t>
  </si>
  <si>
    <t>Dean Tilsley</t>
  </si>
  <si>
    <t>Chief Financial Officer · Cengage Group (current)</t>
  </si>
  <si>
    <t>Sales Nav: 'Cengage Group CEO' result 4</t>
  </si>
  <si>
    <t>RESEARCH (NEW): CFO NOT IN ORIGINAL SPREADSHEET. NYC, 1 yr 3 mos in role at Cengage. Past: Cox Automotive CFO Software/Media. 2nd-degree, 2 mutuals — strong warm path. Better target than 'former CEO Hansen' for cash/timing conversation.</t>
  </si>
  <si>
    <t>Darren Person</t>
  </si>
  <si>
    <t>EVP, Chief Digital Officer (CDO) · Cengage</t>
  </si>
  <si>
    <t>Sales Nav: 'Cengage Group CEO' result 1</t>
  </si>
  <si>
    <t>3 mutual connections + shared groups + 2 recent posts on LinkedIn</t>
  </si>
  <si>
    <t>RESEARCH (NEW): WARM PATH ALT, AI-FRAMED. NYC, 2 yrs 5 mos in role. Past NPD Group EVP/Global CIO. Bio mentions 'AI transformations' specifically — relevant lens for AI copyright matter. Active LinkedIn poster.</t>
  </si>
  <si>
    <t>Morgan Wolbe</t>
  </si>
  <si>
    <t>EVP, Global Operations &amp; Chief Transformation Officer · Cengage</t>
  </si>
  <si>
    <t>Sales Nav: 'Cengage Group CEO' result 2</t>
  </si>
  <si>
    <t>RESEARCH (NEW): Internal promotion (11 yrs 3 mos at Cengage). NYC. 2nd-degree, 2 mutuals. Operations-side senior leader.</t>
  </si>
  <si>
    <t># Contacts</t>
  </si>
  <si>
    <t>AG Touched</t>
  </si>
  <si>
    <t xml:space="preserve"> | [AG] AG already reached out to CFO via LinkedIn</t>
  </si>
  <si>
    <t xml:space="preserve"> | [AG] AG has call with Senior Executive that owns Anthropic Account</t>
  </si>
  <si>
    <t xml:space="preserve"> | [AG] AG reached out to Senior Legal Exec via LinkedIn</t>
  </si>
  <si>
    <t xml:space="preserve"> | [AG] AG reached out to former CEO via LinkedIn</t>
  </si>
  <si>
    <t>TOTAL</t>
  </si>
  <si>
    <t>Publisher Outreach Tracker — Anthropic Settlement</t>
  </si>
  <si>
    <t>Source: Anthropic.xlsx 'Outreach' sheet (publishers, parents, suggested contacts, channel, AG status, notes).</t>
  </si>
  <si>
    <t>Exposure ($) = Top Publishers sheet, Column C (per Andrew).</t>
  </si>
  <si>
    <t>Payout (70%) ($) = Exposure × 70%, computed via formula.</t>
  </si>
  <si>
    <t>Sheets:</t>
  </si>
  <si>
    <t xml:space="preserve">  Contacts — one row per named senior contact. Sortable, filterable. Fill in LinkedIn URL, Connection, Mutuals, Status, Last Contact, Next Step as you research.</t>
  </si>
  <si>
    <t xml:space="preserve">  By Publisher — one row per publisher with totals. Useful for prioritization and reporting.</t>
  </si>
  <si>
    <t>Workflow:</t>
  </si>
  <si>
    <t xml:space="preserve">  1. Drop this .xlsx into Google Drive → right-click → Open with Google Sheets.</t>
  </si>
  <si>
    <t xml:space="preserve">  2. Save as Sheet so changes persist.</t>
  </si>
  <si>
    <t xml:space="preserve">  3. Filter Contacts by Priority or AG-Touched to plan outreach waves.</t>
  </si>
  <si>
    <t xml:space="preserve">  4. Update LinkedIn URL / Connection / Mutuals / Status as you research each contact.</t>
  </si>
  <si>
    <t>Outreach Status values: Pending, Researching, Profile Found, Mutuals Mapped, Connection Sent, InMail Sent, Replied, Meeting Scheduled, Closed.</t>
  </si>
  <si>
    <t>Connection codes: 1st, 2nd, 3rd (LinkedIn degree).</t>
  </si>
  <si>
    <t>Open items to confirm with the team:</t>
  </si>
  <si>
    <t xml:space="preserve">  • PRH and 'Random House' may be the same ledger entry — confirm before treating as separate.</t>
  </si>
  <si>
    <t xml:space="preserve">  • Routledge is an imprint of Taylor &amp; Francis — likely rolls up.</t>
  </si>
  <si>
    <t xml:space="preserve">  • Workman is now part of Hachette — likely rolls up.</t>
  </si>
  <si>
    <t xml:space="preserve">  • Hyperion entity needs confirmation (Hachette adult vs. Disney children's).</t>
  </si>
  <si>
    <t xml:space="preserve">  • University Presses row needs to be exploded into individual presses (Cambridge UP, Oxford UP, MIT, Chicago, Princeton, Yale).</t>
  </si>
  <si>
    <t>Manuel - I understand Kensington and its authors are entitled to significant proceeds (~$13.7M) from the $1.5 billion settlement with Anthropic for its unauthorized use of content to train its models. I represent an investment firm offering extremely competitive rates to purchase those rights today— accelerating your recovery timeline from the expected 2-3 years while the settlement is approved on a final basis and appeals are resolved. Are you/your team open to discussing this opportunity?</t>
  </si>
  <si>
    <t>Public via Frankfurt listing (SPG.DE) since 2024. Andrew in contact with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</si>
</sst>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&quot;($&quot;#,##0\);\-"/>
    <numFmt numFmtId="165" formatCode="\$#,##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E4E1"/>
        <bgColor rgb="FFFFF0D4"/>
      </patternFill>
    </fill>
    <fill>
      <patternFill patternType="solid">
        <fgColor rgb="FFC8E6C9"/>
        <bgColor rgb="FFEEF0F3"/>
      </patternFill>
    </fill>
    <fill>
      <patternFill patternType="solid">
        <fgColor rgb="FFFFCDD2"/>
        <bgColor rgb="FFFFE4E1"/>
      </patternFill>
    </fill>
    <fill>
      <patternFill patternType="solid">
        <fgColor rgb="FFF3E8FF"/>
        <bgColor rgb="FFEEF0F3"/>
      </patternFill>
    </fill>
    <fill>
      <patternFill patternType="solid">
        <fgColor rgb="FFFFF0D4"/>
        <bgColor rgb="FFFFF7D6"/>
      </patternFill>
    </fill>
    <fill>
      <patternFill patternType="solid">
        <fgColor rgb="FFFFF7D6"/>
        <bgColor rgb="FFFFF0D4"/>
      </patternFill>
    </fill>
    <fill>
      <patternFill patternType="solid">
        <fgColor rgb="FFE8F3FF"/>
        <bgColor rgb="FFEEF0F3"/>
      </patternFill>
    </fill>
    <fill>
      <patternFill patternType="solid">
        <fgColor rgb="FFEEF0F3"/>
        <bgColor rgb="FFF0F0F0"/>
      </patternFill>
    </fill>
    <fill>
      <patternFill patternType="solid">
        <fgColor rgb="FF2E7D32"/>
        <bgColor rgb="FF008000"/>
      </patternFill>
    </fill>
    <fill>
      <patternFill patternType="solid">
        <fgColor rgb="FFF0F0F0"/>
        <bgColor rgb="FFEEF0F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0F0F0"/>
      </patternFill>
    </fill>
    <fill>
      <patternFill patternType="solid">
        <fgColor rgb="FFFFFF00"/>
        <bgColor rgb="FFFFF0D4"/>
      </patternFill>
    </fill>
    <fill>
      <patternFill patternType="solid">
        <fgColor rgb="FFFFFF00"/>
        <b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5" fillId="0" borderId="0" xfId="0" applyFont="1"/>
    <xf numFmtId="165" fontId="5" fillId="12" borderId="0" xfId="0" applyNumberFormat="1" applyFont="1" applyFill="1"/>
    <xf numFmtId="0" fontId="5" fillId="12" borderId="0" xfId="0" applyFont="1" applyFill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11" borderId="0" xfId="0" applyFont="1" applyFill="1" applyAlignment="1">
      <alignment horizontal="left" vertical="center"/>
    </xf>
    <xf numFmtId="0" fontId="2" fillId="13" borderId="0" xfId="0" applyFont="1" applyFill="1" applyAlignment="1">
      <alignment vertical="top" wrapText="1"/>
    </xf>
    <xf numFmtId="0" fontId="0" fillId="14" borderId="0" xfId="0" applyFill="1" applyAlignment="1">
      <alignment vertical="top" wrapText="1"/>
    </xf>
    <xf numFmtId="164" fontId="2" fillId="13" borderId="0" xfId="0" applyNumberFormat="1" applyFont="1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4E1"/>
      <rgbColor rgb="FF808080"/>
      <rgbColor rgb="FF9999FF"/>
      <rgbColor rgb="FF993366"/>
      <rgbColor rgb="FFFFF7D6"/>
      <rgbColor rgb="FFE8F3FF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C8E6C9"/>
      <rgbColor rgb="FFFFF0D4"/>
      <rgbColor rgb="FFF0F0F0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zoomScaleNormal="100" workbookViewId="0">
      <pane ySplit="1" topLeftCell="A13" activePane="bottomLeft" state="frozen"/>
      <selection pane="bottomLeft" activeCell="B48" sqref="B48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38" customWidth="1"/>
    <col min="4" max="4" width="18" customWidth="1"/>
    <col min="5" max="5" width="10" customWidth="1"/>
    <col min="6" max="7" width="14" customWidth="1"/>
    <col min="8" max="8" width="26" customWidth="1"/>
    <col min="9" max="9" width="28" customWidth="1"/>
    <col min="10" max="10" width="38" customWidth="1"/>
    <col min="11" max="11" width="11" customWidth="1"/>
    <col min="12" max="12" width="35" customWidth="1"/>
    <col min="13" max="13" width="22" customWidth="1"/>
    <col min="14" max="14" width="14" customWidth="1"/>
    <col min="15" max="15" width="16" customWidth="1"/>
    <col min="16" max="16" width="12" customWidth="1"/>
    <col min="17" max="17" width="22" customWidth="1"/>
    <col min="18" max="18" width="50" customWidth="1"/>
  </cols>
  <sheetData>
    <row r="1" spans="1:18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3.25" customHeight="1" x14ac:dyDescent="0.2">
      <c r="A2" s="2">
        <v>1</v>
      </c>
      <c r="B2" s="2" t="s">
        <v>18</v>
      </c>
      <c r="C2" s="2" t="s">
        <v>19</v>
      </c>
      <c r="D2" s="2" t="s">
        <v>20</v>
      </c>
      <c r="E2" s="3" t="s">
        <v>21</v>
      </c>
      <c r="F2" s="4">
        <v>150829686</v>
      </c>
      <c r="G2" s="4">
        <f>F2*0.7</f>
        <v>105580780.19999999</v>
      </c>
      <c r="H2" s="2" t="s">
        <v>22</v>
      </c>
      <c r="I2" s="2" t="s">
        <v>23</v>
      </c>
      <c r="J2" s="2"/>
      <c r="K2" s="2"/>
      <c r="L2" s="2"/>
      <c r="M2" s="2" t="s">
        <v>24</v>
      </c>
      <c r="N2" s="2"/>
      <c r="O2" s="2" t="s">
        <v>25</v>
      </c>
      <c r="P2" s="2"/>
      <c r="Q2" s="2"/>
      <c r="R2" s="2" t="s">
        <v>26</v>
      </c>
    </row>
    <row r="3" spans="1:18" ht="57" customHeight="1" x14ac:dyDescent="0.2">
      <c r="A3" s="2">
        <v>2</v>
      </c>
      <c r="B3" s="2" t="s">
        <v>27</v>
      </c>
      <c r="C3" s="2" t="s">
        <v>28</v>
      </c>
      <c r="D3" s="2" t="s">
        <v>29</v>
      </c>
      <c r="E3" s="3" t="s">
        <v>21</v>
      </c>
      <c r="F3" s="4">
        <v>53911368</v>
      </c>
      <c r="G3" s="4">
        <f>F3*0.7</f>
        <v>37737957.599999994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/>
      <c r="O3" s="2" t="s">
        <v>36</v>
      </c>
      <c r="P3" s="2"/>
      <c r="Q3" s="2"/>
      <c r="R3" s="2" t="s">
        <v>37</v>
      </c>
    </row>
    <row r="4" spans="1:18" ht="23.25" customHeight="1" x14ac:dyDescent="0.2">
      <c r="A4" s="2">
        <v>2</v>
      </c>
      <c r="B4" s="2" t="s">
        <v>27</v>
      </c>
      <c r="C4" s="2" t="s">
        <v>28</v>
      </c>
      <c r="D4" s="2" t="s">
        <v>29</v>
      </c>
      <c r="E4" s="3" t="s">
        <v>21</v>
      </c>
      <c r="F4" s="4"/>
      <c r="G4" s="4"/>
      <c r="H4" s="2" t="s">
        <v>38</v>
      </c>
      <c r="I4" s="2"/>
      <c r="J4" s="2"/>
      <c r="K4" s="2"/>
      <c r="L4" s="2"/>
      <c r="M4" s="2" t="s">
        <v>35</v>
      </c>
      <c r="N4" s="2"/>
      <c r="O4" s="2" t="s">
        <v>25</v>
      </c>
      <c r="P4" s="2"/>
      <c r="Q4" s="2"/>
      <c r="R4" s="2" t="s">
        <v>39</v>
      </c>
    </row>
    <row r="5" spans="1:18" ht="15" customHeight="1" x14ac:dyDescent="0.2">
      <c r="A5" s="2">
        <v>3</v>
      </c>
      <c r="B5" s="2" t="s">
        <v>40</v>
      </c>
      <c r="C5" s="2" t="s">
        <v>41</v>
      </c>
      <c r="D5" s="2" t="s">
        <v>42</v>
      </c>
      <c r="E5" s="3" t="s">
        <v>21</v>
      </c>
      <c r="F5" s="4">
        <v>46999953</v>
      </c>
      <c r="G5" s="4">
        <f>F5*0.7</f>
        <v>32899967.099999998</v>
      </c>
      <c r="H5" s="2" t="s">
        <v>43</v>
      </c>
      <c r="I5" s="2" t="s">
        <v>44</v>
      </c>
      <c r="J5" s="2" t="s">
        <v>45</v>
      </c>
      <c r="K5" s="5" t="s">
        <v>46</v>
      </c>
      <c r="L5" s="2" t="s">
        <v>47</v>
      </c>
      <c r="M5" s="2" t="s">
        <v>48</v>
      </c>
      <c r="N5" s="2"/>
      <c r="O5" s="6" t="s">
        <v>49</v>
      </c>
      <c r="P5" s="2"/>
      <c r="Q5" s="2"/>
      <c r="R5" s="2" t="s">
        <v>50</v>
      </c>
    </row>
    <row r="6" spans="1:18" ht="15" customHeight="1" x14ac:dyDescent="0.2">
      <c r="A6" s="2">
        <v>3</v>
      </c>
      <c r="B6" s="2" t="s">
        <v>40</v>
      </c>
      <c r="C6" s="2" t="s">
        <v>41</v>
      </c>
      <c r="D6" s="2" t="s">
        <v>42</v>
      </c>
      <c r="E6" s="3" t="s">
        <v>21</v>
      </c>
      <c r="F6" s="4"/>
      <c r="G6" s="4"/>
      <c r="H6" s="2" t="s">
        <v>51</v>
      </c>
      <c r="I6" s="2" t="s">
        <v>52</v>
      </c>
      <c r="J6" s="2" t="s">
        <v>53</v>
      </c>
      <c r="K6" s="2" t="s">
        <v>33</v>
      </c>
      <c r="L6" s="2" t="s">
        <v>54</v>
      </c>
      <c r="M6" s="2" t="s">
        <v>48</v>
      </c>
      <c r="N6" s="2"/>
      <c r="O6" s="7" t="s">
        <v>55</v>
      </c>
      <c r="P6" s="2"/>
      <c r="Q6" s="2"/>
      <c r="R6" s="2" t="s">
        <v>56</v>
      </c>
    </row>
    <row r="7" spans="1:18" ht="15" customHeight="1" x14ac:dyDescent="0.2">
      <c r="A7" s="2">
        <v>3</v>
      </c>
      <c r="B7" s="2" t="s">
        <v>40</v>
      </c>
      <c r="C7" s="2" t="s">
        <v>41</v>
      </c>
      <c r="D7" s="2" t="s">
        <v>42</v>
      </c>
      <c r="E7" s="3" t="s">
        <v>21</v>
      </c>
      <c r="F7" s="4"/>
      <c r="G7" s="4"/>
      <c r="H7" s="2" t="s">
        <v>57</v>
      </c>
      <c r="I7" s="2" t="s">
        <v>58</v>
      </c>
      <c r="J7" s="2"/>
      <c r="K7" s="2"/>
      <c r="L7" s="2"/>
      <c r="M7" s="2" t="s">
        <v>48</v>
      </c>
      <c r="N7" s="2"/>
      <c r="O7" s="2" t="s">
        <v>25</v>
      </c>
      <c r="P7" s="2"/>
      <c r="Q7" s="2"/>
      <c r="R7" s="2" t="s">
        <v>59</v>
      </c>
    </row>
    <row r="8" spans="1:18" ht="23.25" customHeight="1" x14ac:dyDescent="0.2">
      <c r="A8" s="2">
        <v>4</v>
      </c>
      <c r="B8" s="2" t="s">
        <v>60</v>
      </c>
      <c r="C8" s="2" t="s">
        <v>61</v>
      </c>
      <c r="D8" s="2" t="s">
        <v>62</v>
      </c>
      <c r="E8" s="3" t="s">
        <v>21</v>
      </c>
      <c r="F8" s="4">
        <v>45596691</v>
      </c>
      <c r="G8" s="4">
        <f>F8*0.7</f>
        <v>31917683.699999999</v>
      </c>
      <c r="H8" s="2" t="s">
        <v>63</v>
      </c>
      <c r="I8" s="2" t="s">
        <v>31</v>
      </c>
      <c r="J8" s="2" t="s">
        <v>64</v>
      </c>
      <c r="K8" s="2" t="s">
        <v>33</v>
      </c>
      <c r="L8" s="2" t="s">
        <v>54</v>
      </c>
      <c r="M8" s="2" t="s">
        <v>65</v>
      </c>
      <c r="N8" s="2"/>
      <c r="O8" s="2" t="s">
        <v>36</v>
      </c>
      <c r="P8" s="2"/>
      <c r="Q8" s="2"/>
      <c r="R8" s="2" t="s">
        <v>66</v>
      </c>
    </row>
    <row r="9" spans="1:18" ht="23.25" customHeight="1" x14ac:dyDescent="0.2">
      <c r="A9" s="2">
        <v>4</v>
      </c>
      <c r="B9" s="2" t="s">
        <v>60</v>
      </c>
      <c r="C9" s="2" t="s">
        <v>61</v>
      </c>
      <c r="D9" s="2" t="s">
        <v>62</v>
      </c>
      <c r="E9" s="3" t="s">
        <v>21</v>
      </c>
      <c r="F9" s="4"/>
      <c r="G9" s="4"/>
      <c r="H9" s="2" t="s">
        <v>67</v>
      </c>
      <c r="I9" s="2" t="s">
        <v>52</v>
      </c>
      <c r="J9" s="2"/>
      <c r="K9" s="2"/>
      <c r="L9" s="2"/>
      <c r="M9" s="2" t="s">
        <v>65</v>
      </c>
      <c r="N9" s="2"/>
      <c r="O9" s="2" t="s">
        <v>25</v>
      </c>
      <c r="P9" s="2"/>
      <c r="Q9" s="2"/>
      <c r="R9" s="2" t="s">
        <v>68</v>
      </c>
    </row>
    <row r="10" spans="1:18" ht="23.25" customHeight="1" x14ac:dyDescent="0.2">
      <c r="A10" s="2">
        <v>4</v>
      </c>
      <c r="B10" s="2" t="s">
        <v>60</v>
      </c>
      <c r="C10" s="2" t="s">
        <v>61</v>
      </c>
      <c r="D10" s="2" t="s">
        <v>62</v>
      </c>
      <c r="E10" s="3" t="s">
        <v>21</v>
      </c>
      <c r="F10" s="4"/>
      <c r="G10" s="4"/>
      <c r="H10" s="2" t="s">
        <v>38</v>
      </c>
      <c r="I10" s="2"/>
      <c r="J10" s="2"/>
      <c r="K10" s="2"/>
      <c r="L10" s="2"/>
      <c r="M10" s="2" t="s">
        <v>65</v>
      </c>
      <c r="N10" s="2"/>
      <c r="O10" s="2" t="s">
        <v>25</v>
      </c>
      <c r="P10" s="2"/>
      <c r="Q10" s="2"/>
      <c r="R10" s="2" t="s">
        <v>68</v>
      </c>
    </row>
    <row r="11" spans="1:18" ht="15" customHeight="1" x14ac:dyDescent="0.2">
      <c r="A11" s="2">
        <v>5</v>
      </c>
      <c r="B11" s="2" t="s">
        <v>69</v>
      </c>
      <c r="C11" s="2" t="s">
        <v>70</v>
      </c>
      <c r="D11" s="2" t="s">
        <v>62</v>
      </c>
      <c r="E11" s="3" t="s">
        <v>21</v>
      </c>
      <c r="F11" s="4">
        <v>42351939</v>
      </c>
      <c r="G11" s="4">
        <f>F11*0.7</f>
        <v>29646357.299999997</v>
      </c>
      <c r="H11" s="2" t="s">
        <v>71</v>
      </c>
      <c r="I11" s="2" t="s">
        <v>72</v>
      </c>
      <c r="J11" s="2"/>
      <c r="K11" s="2"/>
      <c r="L11" s="2"/>
      <c r="M11" s="2" t="s">
        <v>73</v>
      </c>
      <c r="N11" s="2" t="s">
        <v>74</v>
      </c>
      <c r="O11" s="2" t="s">
        <v>25</v>
      </c>
      <c r="P11" s="2"/>
      <c r="Q11" s="2"/>
      <c r="R11" s="2" t="s">
        <v>75</v>
      </c>
    </row>
    <row r="12" spans="1:18" ht="15" customHeight="1" x14ac:dyDescent="0.2">
      <c r="A12" s="2">
        <v>5</v>
      </c>
      <c r="B12" s="2" t="s">
        <v>69</v>
      </c>
      <c r="C12" s="2" t="s">
        <v>70</v>
      </c>
      <c r="D12" s="2" t="s">
        <v>62</v>
      </c>
      <c r="E12" s="3" t="s">
        <v>21</v>
      </c>
      <c r="F12" s="4"/>
      <c r="G12" s="4"/>
      <c r="H12" s="2" t="s">
        <v>76</v>
      </c>
      <c r="I12" s="2"/>
      <c r="J12" s="2"/>
      <c r="K12" s="2"/>
      <c r="L12" s="2"/>
      <c r="M12" s="2" t="s">
        <v>73</v>
      </c>
      <c r="N12" s="2" t="s">
        <v>74</v>
      </c>
      <c r="O12" s="2" t="s">
        <v>25</v>
      </c>
      <c r="P12" s="2"/>
      <c r="Q12" s="2"/>
      <c r="R12" s="2" t="s">
        <v>75</v>
      </c>
    </row>
    <row r="13" spans="1:18" ht="23.25" customHeight="1" x14ac:dyDescent="0.2">
      <c r="A13" s="2">
        <v>6</v>
      </c>
      <c r="B13" s="2" t="s">
        <v>77</v>
      </c>
      <c r="C13" s="2" t="s">
        <v>78</v>
      </c>
      <c r="D13" s="2" t="s">
        <v>79</v>
      </c>
      <c r="E13" s="3" t="s">
        <v>21</v>
      </c>
      <c r="F13" s="4">
        <v>39370590</v>
      </c>
      <c r="G13" s="4">
        <f>F13*0.7</f>
        <v>27559413</v>
      </c>
      <c r="H13" s="2" t="s">
        <v>80</v>
      </c>
      <c r="I13" s="2" t="s">
        <v>81</v>
      </c>
      <c r="J13" s="2"/>
      <c r="K13" s="2"/>
      <c r="L13" s="2"/>
      <c r="M13" s="2" t="s">
        <v>48</v>
      </c>
      <c r="N13" s="2"/>
      <c r="O13" s="2" t="s">
        <v>25</v>
      </c>
      <c r="P13" s="2"/>
      <c r="Q13" s="2"/>
      <c r="R13" s="2" t="s">
        <v>82</v>
      </c>
    </row>
    <row r="14" spans="1:18" ht="23.25" customHeight="1" x14ac:dyDescent="0.2">
      <c r="A14" s="2">
        <v>6</v>
      </c>
      <c r="B14" s="2" t="s">
        <v>77</v>
      </c>
      <c r="C14" s="2" t="s">
        <v>78</v>
      </c>
      <c r="D14" s="2" t="s">
        <v>79</v>
      </c>
      <c r="E14" s="3" t="s">
        <v>21</v>
      </c>
      <c r="F14" s="4"/>
      <c r="G14" s="4"/>
      <c r="H14" s="2" t="s">
        <v>83</v>
      </c>
      <c r="I14" s="2" t="s">
        <v>84</v>
      </c>
      <c r="J14" s="2"/>
      <c r="K14" s="2"/>
      <c r="L14" s="2"/>
      <c r="M14" s="2" t="s">
        <v>48</v>
      </c>
      <c r="N14" s="2"/>
      <c r="O14" s="2" t="s">
        <v>25</v>
      </c>
      <c r="P14" s="2"/>
      <c r="Q14" s="2"/>
      <c r="R14" s="2" t="s">
        <v>82</v>
      </c>
    </row>
    <row r="15" spans="1:18" ht="15" customHeight="1" x14ac:dyDescent="0.2">
      <c r="A15" s="2">
        <v>7</v>
      </c>
      <c r="B15" s="2" t="s">
        <v>85</v>
      </c>
      <c r="C15" s="2" t="s">
        <v>86</v>
      </c>
      <c r="D15" s="2" t="s">
        <v>87</v>
      </c>
      <c r="E15" s="3" t="s">
        <v>21</v>
      </c>
      <c r="F15" s="4">
        <v>29573397</v>
      </c>
      <c r="G15" s="4">
        <f>F15*0.7</f>
        <v>20701377.899999999</v>
      </c>
      <c r="H15" s="2" t="s">
        <v>88</v>
      </c>
      <c r="I15" s="2" t="s">
        <v>89</v>
      </c>
      <c r="J15" s="2" t="s">
        <v>90</v>
      </c>
      <c r="K15" s="2" t="s">
        <v>33</v>
      </c>
      <c r="L15" s="2" t="s">
        <v>54</v>
      </c>
      <c r="M15" s="2" t="s">
        <v>48</v>
      </c>
      <c r="N15" s="2"/>
      <c r="O15" s="2" t="s">
        <v>36</v>
      </c>
      <c r="P15" s="2"/>
      <c r="Q15" s="2"/>
      <c r="R15" s="2" t="s">
        <v>91</v>
      </c>
    </row>
    <row r="16" spans="1:18" ht="15" customHeight="1" x14ac:dyDescent="0.2">
      <c r="A16" s="2">
        <v>7</v>
      </c>
      <c r="B16" s="2" t="s">
        <v>85</v>
      </c>
      <c r="C16" s="2" t="s">
        <v>86</v>
      </c>
      <c r="D16" s="2" t="s">
        <v>87</v>
      </c>
      <c r="E16" s="3" t="s">
        <v>21</v>
      </c>
      <c r="F16" s="4"/>
      <c r="G16" s="4"/>
      <c r="H16" s="2" t="s">
        <v>92</v>
      </c>
      <c r="I16" s="2"/>
      <c r="J16" s="2"/>
      <c r="K16" s="2"/>
      <c r="L16" s="2"/>
      <c r="M16" s="2" t="s">
        <v>48</v>
      </c>
      <c r="N16" s="2"/>
      <c r="O16" s="2" t="s">
        <v>25</v>
      </c>
      <c r="P16" s="2"/>
      <c r="Q16" s="2"/>
      <c r="R16" s="2"/>
    </row>
    <row r="17" spans="1:18" ht="23.25" customHeight="1" x14ac:dyDescent="0.2">
      <c r="A17" s="2">
        <v>8</v>
      </c>
      <c r="B17" s="2" t="s">
        <v>93</v>
      </c>
      <c r="C17" s="2" t="s">
        <v>94</v>
      </c>
      <c r="D17" s="2" t="s">
        <v>62</v>
      </c>
      <c r="E17" s="8" t="s">
        <v>95</v>
      </c>
      <c r="F17" s="4">
        <v>29279691</v>
      </c>
      <c r="G17" s="4">
        <f>F17*0.7</f>
        <v>20495783.699999999</v>
      </c>
      <c r="H17" s="2" t="s">
        <v>96</v>
      </c>
      <c r="I17" s="2"/>
      <c r="J17" s="2"/>
      <c r="K17" s="2"/>
      <c r="L17" s="2"/>
      <c r="M17" s="2" t="s">
        <v>73</v>
      </c>
      <c r="N17" s="2" t="s">
        <v>74</v>
      </c>
      <c r="O17" s="2" t="s">
        <v>25</v>
      </c>
      <c r="P17" s="2"/>
      <c r="Q17" s="2"/>
      <c r="R17" s="2" t="s">
        <v>97</v>
      </c>
    </row>
    <row r="18" spans="1:18" ht="15" customHeight="1" x14ac:dyDescent="0.2">
      <c r="A18" s="2">
        <v>9</v>
      </c>
      <c r="B18" s="2" t="s">
        <v>98</v>
      </c>
      <c r="C18" s="2" t="s">
        <v>99</v>
      </c>
      <c r="D18" s="2" t="s">
        <v>62</v>
      </c>
      <c r="E18" s="3" t="s">
        <v>21</v>
      </c>
      <c r="F18" s="4">
        <v>18372942</v>
      </c>
      <c r="G18" s="4">
        <f>F18*0.7</f>
        <v>12861059.399999999</v>
      </c>
      <c r="H18" s="2" t="s">
        <v>100</v>
      </c>
      <c r="I18" s="2" t="s">
        <v>31</v>
      </c>
      <c r="J18" s="2"/>
      <c r="K18" s="2"/>
      <c r="L18" s="2"/>
      <c r="M18" s="2" t="s">
        <v>73</v>
      </c>
      <c r="N18" s="2"/>
      <c r="O18" s="2" t="s">
        <v>25</v>
      </c>
      <c r="P18" s="2"/>
      <c r="Q18" s="2"/>
      <c r="R18" s="2" t="s">
        <v>101</v>
      </c>
    </row>
    <row r="19" spans="1:18" ht="15" customHeight="1" x14ac:dyDescent="0.2">
      <c r="A19" s="2">
        <v>9</v>
      </c>
      <c r="B19" s="2" t="s">
        <v>98</v>
      </c>
      <c r="C19" s="2" t="s">
        <v>99</v>
      </c>
      <c r="D19" s="2" t="s">
        <v>62</v>
      </c>
      <c r="E19" s="3" t="s">
        <v>21</v>
      </c>
      <c r="F19" s="4"/>
      <c r="G19" s="4"/>
      <c r="H19" s="2" t="s">
        <v>38</v>
      </c>
      <c r="I19" s="2"/>
      <c r="J19" s="2"/>
      <c r="K19" s="2"/>
      <c r="L19" s="2"/>
      <c r="M19" s="2" t="s">
        <v>73</v>
      </c>
      <c r="N19" s="2"/>
      <c r="O19" s="2" t="s">
        <v>25</v>
      </c>
      <c r="P19" s="2"/>
      <c r="Q19" s="2"/>
      <c r="R19" s="2" t="s">
        <v>101</v>
      </c>
    </row>
    <row r="20" spans="1:18" ht="15" customHeight="1" x14ac:dyDescent="0.2">
      <c r="A20" s="2">
        <v>10</v>
      </c>
      <c r="B20" s="2" t="s">
        <v>102</v>
      </c>
      <c r="C20" s="2" t="s">
        <v>103</v>
      </c>
      <c r="D20" s="2" t="s">
        <v>62</v>
      </c>
      <c r="E20" s="3" t="s">
        <v>21</v>
      </c>
      <c r="F20" s="4">
        <v>17764551</v>
      </c>
      <c r="G20" s="4">
        <f>F20*0.7</f>
        <v>12435185.699999999</v>
      </c>
      <c r="H20" s="2" t="s">
        <v>104</v>
      </c>
      <c r="I20" s="2" t="s">
        <v>31</v>
      </c>
      <c r="J20" s="2"/>
      <c r="K20" s="2"/>
      <c r="L20" s="2"/>
      <c r="M20" s="2" t="s">
        <v>73</v>
      </c>
      <c r="N20" s="2"/>
      <c r="O20" s="2" t="s">
        <v>25</v>
      </c>
      <c r="P20" s="2"/>
      <c r="Q20" s="2"/>
      <c r="R20" s="2" t="s">
        <v>105</v>
      </c>
    </row>
    <row r="21" spans="1:18" ht="15" customHeight="1" x14ac:dyDescent="0.2">
      <c r="A21" s="2">
        <v>10</v>
      </c>
      <c r="B21" s="2" t="s">
        <v>102</v>
      </c>
      <c r="C21" s="2" t="s">
        <v>103</v>
      </c>
      <c r="D21" s="2" t="s">
        <v>62</v>
      </c>
      <c r="E21" s="3" t="s">
        <v>21</v>
      </c>
      <c r="F21" s="4"/>
      <c r="G21" s="4"/>
      <c r="H21" s="2" t="s">
        <v>106</v>
      </c>
      <c r="I21" s="2" t="s">
        <v>107</v>
      </c>
      <c r="J21" s="2"/>
      <c r="K21" s="2"/>
      <c r="L21" s="2"/>
      <c r="M21" s="2" t="s">
        <v>73</v>
      </c>
      <c r="N21" s="2"/>
      <c r="O21" s="2" t="s">
        <v>25</v>
      </c>
      <c r="P21" s="2"/>
      <c r="Q21" s="2"/>
      <c r="R21" s="2" t="s">
        <v>105</v>
      </c>
    </row>
    <row r="22" spans="1:18" ht="23.25" customHeight="1" x14ac:dyDescent="0.2">
      <c r="A22" s="2">
        <v>11</v>
      </c>
      <c r="B22" s="2" t="s">
        <v>108</v>
      </c>
      <c r="C22" s="2" t="s">
        <v>109</v>
      </c>
      <c r="D22" s="2" t="s">
        <v>62</v>
      </c>
      <c r="E22" s="9" t="s">
        <v>110</v>
      </c>
      <c r="F22" s="4">
        <v>13724928</v>
      </c>
      <c r="G22" s="4">
        <f>F22*0.7</f>
        <v>9607449.5999999996</v>
      </c>
      <c r="H22" s="2" t="s">
        <v>111</v>
      </c>
      <c r="I22" s="2" t="s">
        <v>112</v>
      </c>
      <c r="J22" s="2"/>
      <c r="K22" s="2"/>
      <c r="L22" s="2"/>
      <c r="M22" s="2" t="s">
        <v>113</v>
      </c>
      <c r="N22" s="2"/>
      <c r="O22" s="2" t="s">
        <v>25</v>
      </c>
      <c r="P22" s="2"/>
      <c r="Q22" s="2"/>
      <c r="R22" s="2" t="s">
        <v>114</v>
      </c>
    </row>
    <row r="23" spans="1:18" ht="23.25" customHeight="1" x14ac:dyDescent="0.2">
      <c r="A23" s="2">
        <v>11</v>
      </c>
      <c r="B23" s="2" t="s">
        <v>108</v>
      </c>
      <c r="C23" s="2" t="s">
        <v>109</v>
      </c>
      <c r="D23" s="2" t="s">
        <v>62</v>
      </c>
      <c r="E23" s="9" t="s">
        <v>110</v>
      </c>
      <c r="F23" s="4"/>
      <c r="G23" s="4"/>
      <c r="H23" s="2" t="s">
        <v>115</v>
      </c>
      <c r="I23" s="2" t="s">
        <v>52</v>
      </c>
      <c r="J23" s="2"/>
      <c r="K23" s="2"/>
      <c r="L23" s="2"/>
      <c r="M23" s="2" t="s">
        <v>113</v>
      </c>
      <c r="N23" s="2"/>
      <c r="O23" s="2" t="s">
        <v>25</v>
      </c>
      <c r="P23" s="2"/>
      <c r="Q23" s="2"/>
      <c r="R23" s="2" t="s">
        <v>114</v>
      </c>
    </row>
    <row r="24" spans="1:18" ht="23.25" customHeight="1" x14ac:dyDescent="0.2">
      <c r="A24" s="2">
        <v>11</v>
      </c>
      <c r="B24" s="2" t="s">
        <v>108</v>
      </c>
      <c r="C24" s="2" t="s">
        <v>109</v>
      </c>
      <c r="D24" s="2" t="s">
        <v>62</v>
      </c>
      <c r="E24" s="9" t="s">
        <v>110</v>
      </c>
      <c r="F24" s="4"/>
      <c r="G24" s="4"/>
      <c r="H24" s="2" t="s">
        <v>116</v>
      </c>
      <c r="I24" s="2" t="s">
        <v>117</v>
      </c>
      <c r="J24" s="2"/>
      <c r="K24" s="2"/>
      <c r="L24" s="2"/>
      <c r="M24" s="2" t="s">
        <v>113</v>
      </c>
      <c r="N24" s="2"/>
      <c r="O24" s="2" t="s">
        <v>25</v>
      </c>
      <c r="P24" s="2"/>
      <c r="Q24" s="2"/>
      <c r="R24" s="2" t="s">
        <v>114</v>
      </c>
    </row>
    <row r="25" spans="1:18" ht="23.25" customHeight="1" x14ac:dyDescent="0.2">
      <c r="A25" s="2">
        <v>12</v>
      </c>
      <c r="B25" s="2" t="s">
        <v>118</v>
      </c>
      <c r="C25" s="2" t="s">
        <v>119</v>
      </c>
      <c r="D25" s="2" t="s">
        <v>120</v>
      </c>
      <c r="E25" s="3" t="s">
        <v>21</v>
      </c>
      <c r="F25" s="4">
        <v>13090896</v>
      </c>
      <c r="G25" s="4">
        <f>F25*0.7</f>
        <v>9163627.1999999993</v>
      </c>
      <c r="H25" s="2" t="s">
        <v>121</v>
      </c>
      <c r="I25" s="2" t="s">
        <v>31</v>
      </c>
      <c r="J25" s="2"/>
      <c r="K25" s="2"/>
      <c r="L25" s="2"/>
      <c r="M25" s="2" t="s">
        <v>122</v>
      </c>
      <c r="N25" s="2" t="s">
        <v>74</v>
      </c>
      <c r="O25" s="2" t="s">
        <v>25</v>
      </c>
      <c r="P25" s="2"/>
      <c r="Q25" s="2"/>
      <c r="R25" s="2" t="s">
        <v>123</v>
      </c>
    </row>
    <row r="26" spans="1:18" ht="23.25" customHeight="1" x14ac:dyDescent="0.2">
      <c r="A26" s="2">
        <v>12</v>
      </c>
      <c r="B26" s="2" t="s">
        <v>118</v>
      </c>
      <c r="C26" s="2" t="s">
        <v>119</v>
      </c>
      <c r="D26" s="2" t="s">
        <v>120</v>
      </c>
      <c r="E26" s="3" t="s">
        <v>21</v>
      </c>
      <c r="F26" s="4"/>
      <c r="G26" s="4"/>
      <c r="H26" s="2" t="s">
        <v>124</v>
      </c>
      <c r="I26" s="2" t="s">
        <v>52</v>
      </c>
      <c r="J26" s="2"/>
      <c r="K26" s="2"/>
      <c r="L26" s="2"/>
      <c r="M26" s="2" t="s">
        <v>122</v>
      </c>
      <c r="N26" s="2" t="s">
        <v>74</v>
      </c>
      <c r="O26" s="2" t="s">
        <v>25</v>
      </c>
      <c r="P26" s="2"/>
      <c r="Q26" s="2"/>
      <c r="R26" s="2" t="s">
        <v>123</v>
      </c>
    </row>
    <row r="27" spans="1:18" ht="15" customHeight="1" x14ac:dyDescent="0.2">
      <c r="A27" s="2">
        <v>13</v>
      </c>
      <c r="B27" s="2" t="s">
        <v>125</v>
      </c>
      <c r="C27" s="2" t="s">
        <v>126</v>
      </c>
      <c r="D27" s="2" t="s">
        <v>79</v>
      </c>
      <c r="E27" s="10" t="s">
        <v>127</v>
      </c>
      <c r="F27" s="4">
        <v>12524463</v>
      </c>
      <c r="G27" s="4">
        <f>F27*0.7</f>
        <v>8767124.0999999996</v>
      </c>
      <c r="H27" s="2" t="s">
        <v>128</v>
      </c>
      <c r="I27" s="2" t="s">
        <v>129</v>
      </c>
      <c r="J27" s="2"/>
      <c r="K27" s="2"/>
      <c r="L27" s="2"/>
      <c r="M27" s="2" t="s">
        <v>130</v>
      </c>
      <c r="N27" s="2"/>
      <c r="O27" s="2" t="s">
        <v>25</v>
      </c>
      <c r="P27" s="2"/>
      <c r="Q27" s="2"/>
      <c r="R27" s="2" t="s">
        <v>131</v>
      </c>
    </row>
    <row r="28" spans="1:18" ht="15" customHeight="1" x14ac:dyDescent="0.2">
      <c r="A28" s="2">
        <v>14</v>
      </c>
      <c r="B28" s="2" t="s">
        <v>132</v>
      </c>
      <c r="C28" s="2" t="s">
        <v>133</v>
      </c>
      <c r="D28" s="2" t="s">
        <v>120</v>
      </c>
      <c r="E28" s="10" t="s">
        <v>127</v>
      </c>
      <c r="F28" s="4">
        <v>11354301</v>
      </c>
      <c r="G28" s="4">
        <f>F28*0.7</f>
        <v>7948010.6999999993</v>
      </c>
      <c r="H28" s="2" t="s">
        <v>134</v>
      </c>
      <c r="I28" s="2" t="s">
        <v>135</v>
      </c>
      <c r="J28" s="2"/>
      <c r="K28" s="2"/>
      <c r="L28" s="2"/>
      <c r="M28" s="2" t="s">
        <v>48</v>
      </c>
      <c r="N28" s="2"/>
      <c r="O28" s="2" t="s">
        <v>25</v>
      </c>
      <c r="P28" s="2"/>
      <c r="Q28" s="2"/>
      <c r="R28" s="2"/>
    </row>
    <row r="29" spans="1:18" ht="15" customHeight="1" x14ac:dyDescent="0.2">
      <c r="A29" s="2">
        <v>14</v>
      </c>
      <c r="B29" s="2" t="s">
        <v>132</v>
      </c>
      <c r="C29" s="2" t="s">
        <v>133</v>
      </c>
      <c r="D29" s="2" t="s">
        <v>120</v>
      </c>
      <c r="E29" s="10" t="s">
        <v>127</v>
      </c>
      <c r="F29" s="4"/>
      <c r="G29" s="4"/>
      <c r="H29" s="2" t="s">
        <v>136</v>
      </c>
      <c r="I29" s="2" t="s">
        <v>52</v>
      </c>
      <c r="J29" s="2"/>
      <c r="K29" s="2"/>
      <c r="L29" s="2"/>
      <c r="M29" s="2" t="s">
        <v>48</v>
      </c>
      <c r="N29" s="2"/>
      <c r="O29" s="2" t="s">
        <v>25</v>
      </c>
      <c r="P29" s="2"/>
      <c r="Q29" s="2"/>
      <c r="R29" s="2"/>
    </row>
    <row r="30" spans="1:18" ht="23.25" customHeight="1" x14ac:dyDescent="0.2">
      <c r="A30" s="2">
        <v>15</v>
      </c>
      <c r="B30" s="2" t="s">
        <v>137</v>
      </c>
      <c r="C30" s="2" t="s">
        <v>138</v>
      </c>
      <c r="D30" s="2" t="s">
        <v>62</v>
      </c>
      <c r="E30" s="10" t="s">
        <v>127</v>
      </c>
      <c r="F30" s="4">
        <v>8536122</v>
      </c>
      <c r="G30" s="4">
        <f>F30*0.7</f>
        <v>5975285.3999999994</v>
      </c>
      <c r="H30" s="2" t="s">
        <v>139</v>
      </c>
      <c r="I30" s="2" t="s">
        <v>140</v>
      </c>
      <c r="J30" s="2"/>
      <c r="K30" s="2"/>
      <c r="L30" s="2"/>
      <c r="M30" s="2" t="s">
        <v>73</v>
      </c>
      <c r="N30" s="2"/>
      <c r="O30" s="2" t="s">
        <v>25</v>
      </c>
      <c r="P30" s="2"/>
      <c r="Q30" s="2"/>
      <c r="R30" s="2" t="s">
        <v>141</v>
      </c>
    </row>
    <row r="31" spans="1:18" ht="23.25" customHeight="1" x14ac:dyDescent="0.2">
      <c r="A31" s="2">
        <v>15</v>
      </c>
      <c r="B31" s="2" t="s">
        <v>137</v>
      </c>
      <c r="C31" s="2" t="s">
        <v>138</v>
      </c>
      <c r="D31" s="2" t="s">
        <v>62</v>
      </c>
      <c r="E31" s="10" t="s">
        <v>127</v>
      </c>
      <c r="F31" s="4"/>
      <c r="G31" s="4"/>
      <c r="H31" s="2" t="s">
        <v>38</v>
      </c>
      <c r="I31" s="2"/>
      <c r="J31" s="2"/>
      <c r="K31" s="2"/>
      <c r="L31" s="2"/>
      <c r="M31" s="2" t="s">
        <v>73</v>
      </c>
      <c r="N31" s="2"/>
      <c r="O31" s="2" t="s">
        <v>25</v>
      </c>
      <c r="P31" s="2"/>
      <c r="Q31" s="2"/>
      <c r="R31" s="2" t="s">
        <v>141</v>
      </c>
    </row>
    <row r="32" spans="1:18" ht="15" customHeight="1" x14ac:dyDescent="0.2">
      <c r="A32" s="2">
        <v>16</v>
      </c>
      <c r="B32" s="2" t="s">
        <v>142</v>
      </c>
      <c r="C32" s="2" t="s">
        <v>143</v>
      </c>
      <c r="D32" s="2" t="s">
        <v>144</v>
      </c>
      <c r="E32" s="10" t="s">
        <v>127</v>
      </c>
      <c r="F32" s="4">
        <v>6421905</v>
      </c>
      <c r="G32" s="4">
        <f>F32*0.7</f>
        <v>4495333.5</v>
      </c>
      <c r="H32" s="2" t="s">
        <v>145</v>
      </c>
      <c r="I32" s="2" t="s">
        <v>31</v>
      </c>
      <c r="J32" s="2"/>
      <c r="K32" s="2"/>
      <c r="L32" s="2"/>
      <c r="M32" s="2" t="s">
        <v>122</v>
      </c>
      <c r="N32" s="2" t="s">
        <v>74</v>
      </c>
      <c r="O32" s="2" t="s">
        <v>25</v>
      </c>
      <c r="P32" s="2"/>
      <c r="Q32" s="2"/>
      <c r="R32" s="2" t="s">
        <v>146</v>
      </c>
    </row>
    <row r="33" spans="1:18" ht="15" customHeight="1" x14ac:dyDescent="0.2">
      <c r="A33" s="2">
        <v>16</v>
      </c>
      <c r="B33" s="2" t="s">
        <v>142</v>
      </c>
      <c r="C33" s="2" t="s">
        <v>143</v>
      </c>
      <c r="D33" s="2" t="s">
        <v>144</v>
      </c>
      <c r="E33" s="10" t="s">
        <v>127</v>
      </c>
      <c r="F33" s="4"/>
      <c r="G33" s="4"/>
      <c r="H33" s="2" t="s">
        <v>147</v>
      </c>
      <c r="I33" s="2" t="s">
        <v>148</v>
      </c>
      <c r="J33" s="2"/>
      <c r="K33" s="2"/>
      <c r="L33" s="2"/>
      <c r="M33" s="2" t="s">
        <v>122</v>
      </c>
      <c r="N33" s="2" t="s">
        <v>74</v>
      </c>
      <c r="O33" s="2" t="s">
        <v>25</v>
      </c>
      <c r="P33" s="2"/>
      <c r="Q33" s="2"/>
      <c r="R33" s="2" t="s">
        <v>146</v>
      </c>
    </row>
    <row r="34" spans="1:18" ht="15" customHeight="1" x14ac:dyDescent="0.2">
      <c r="A34" s="2">
        <v>17</v>
      </c>
      <c r="B34" s="2" t="s">
        <v>149</v>
      </c>
      <c r="C34" s="2" t="s">
        <v>150</v>
      </c>
      <c r="D34" s="2" t="s">
        <v>62</v>
      </c>
      <c r="E34" s="10" t="s">
        <v>127</v>
      </c>
      <c r="F34" s="4">
        <v>5841486</v>
      </c>
      <c r="G34" s="4">
        <f>F34*0.7</f>
        <v>4089040.1999999997</v>
      </c>
      <c r="H34" s="2" t="s">
        <v>151</v>
      </c>
      <c r="I34" s="2" t="s">
        <v>152</v>
      </c>
      <c r="J34" s="2"/>
      <c r="K34" s="2"/>
      <c r="L34" s="2"/>
      <c r="M34" s="2" t="s">
        <v>153</v>
      </c>
      <c r="N34" s="2"/>
      <c r="O34" s="2" t="s">
        <v>25</v>
      </c>
      <c r="P34" s="2"/>
      <c r="Q34" s="2"/>
      <c r="R34" s="2" t="s">
        <v>154</v>
      </c>
    </row>
    <row r="35" spans="1:18" ht="15" customHeight="1" x14ac:dyDescent="0.2">
      <c r="A35" s="2">
        <v>17</v>
      </c>
      <c r="B35" s="2" t="s">
        <v>149</v>
      </c>
      <c r="C35" s="2" t="s">
        <v>150</v>
      </c>
      <c r="D35" s="2" t="s">
        <v>62</v>
      </c>
      <c r="E35" s="10" t="s">
        <v>127</v>
      </c>
      <c r="F35" s="4"/>
      <c r="G35" s="4"/>
      <c r="H35" s="2" t="s">
        <v>38</v>
      </c>
      <c r="I35" s="2"/>
      <c r="J35" s="2"/>
      <c r="K35" s="2"/>
      <c r="L35" s="2"/>
      <c r="M35" s="2" t="s">
        <v>153</v>
      </c>
      <c r="N35" s="2"/>
      <c r="O35" s="2" t="s">
        <v>25</v>
      </c>
      <c r="P35" s="2"/>
      <c r="Q35" s="2"/>
      <c r="R35" s="2" t="s">
        <v>154</v>
      </c>
    </row>
    <row r="36" spans="1:18" ht="23.25" customHeight="1" x14ac:dyDescent="0.2">
      <c r="A36" s="2">
        <v>18</v>
      </c>
      <c r="B36" s="2" t="s">
        <v>155</v>
      </c>
      <c r="C36" s="2" t="s">
        <v>156</v>
      </c>
      <c r="D36" s="2" t="s">
        <v>62</v>
      </c>
      <c r="E36" s="10" t="s">
        <v>127</v>
      </c>
      <c r="F36" s="4">
        <v>5601393</v>
      </c>
      <c r="G36" s="4">
        <f>F36*0.7</f>
        <v>3920975.0999999996</v>
      </c>
      <c r="H36" s="2" t="s">
        <v>157</v>
      </c>
      <c r="I36" s="2" t="s">
        <v>158</v>
      </c>
      <c r="J36" s="2"/>
      <c r="K36" s="2"/>
      <c r="L36" s="2"/>
      <c r="M36" s="2" t="s">
        <v>73</v>
      </c>
      <c r="N36" s="2"/>
      <c r="O36" s="2" t="s">
        <v>25</v>
      </c>
      <c r="P36" s="2"/>
      <c r="Q36" s="2"/>
      <c r="R36" s="2"/>
    </row>
    <row r="37" spans="1:18" ht="15" customHeight="1" x14ac:dyDescent="0.2">
      <c r="A37" s="2">
        <v>18</v>
      </c>
      <c r="B37" s="2" t="s">
        <v>155</v>
      </c>
      <c r="C37" s="2" t="s">
        <v>156</v>
      </c>
      <c r="D37" s="2" t="s">
        <v>62</v>
      </c>
      <c r="E37" s="10" t="s">
        <v>127</v>
      </c>
      <c r="F37" s="4"/>
      <c r="G37" s="4"/>
      <c r="H37" s="2" t="s">
        <v>38</v>
      </c>
      <c r="I37" s="2"/>
      <c r="J37" s="2"/>
      <c r="K37" s="2"/>
      <c r="L37" s="2"/>
      <c r="M37" s="2" t="s">
        <v>73</v>
      </c>
      <c r="N37" s="2"/>
      <c r="O37" s="2" t="s">
        <v>25</v>
      </c>
      <c r="P37" s="2"/>
      <c r="Q37" s="2"/>
      <c r="R37" s="2"/>
    </row>
    <row r="38" spans="1:18" ht="15" customHeight="1" x14ac:dyDescent="0.2">
      <c r="A38" s="2">
        <v>19</v>
      </c>
      <c r="B38" s="2" t="s">
        <v>159</v>
      </c>
      <c r="C38" s="2" t="s">
        <v>160</v>
      </c>
      <c r="D38" s="2" t="s">
        <v>144</v>
      </c>
      <c r="E38" s="10" t="s">
        <v>127</v>
      </c>
      <c r="F38" s="4">
        <v>5554773</v>
      </c>
      <c r="G38" s="4">
        <f>F38*0.7</f>
        <v>3888341.0999999996</v>
      </c>
      <c r="H38" s="2" t="s">
        <v>161</v>
      </c>
      <c r="I38" s="2" t="s">
        <v>162</v>
      </c>
      <c r="J38" s="2"/>
      <c r="K38" s="2"/>
      <c r="L38" s="2"/>
      <c r="M38" s="2" t="s">
        <v>122</v>
      </c>
      <c r="N38" s="2" t="s">
        <v>74</v>
      </c>
      <c r="O38" s="2" t="s">
        <v>25</v>
      </c>
      <c r="P38" s="2"/>
      <c r="Q38" s="2"/>
      <c r="R38" s="2" t="s">
        <v>163</v>
      </c>
    </row>
    <row r="39" spans="1:18" ht="15" customHeight="1" x14ac:dyDescent="0.2">
      <c r="A39" s="2">
        <v>19</v>
      </c>
      <c r="B39" s="2" t="s">
        <v>159</v>
      </c>
      <c r="C39" s="2" t="s">
        <v>160</v>
      </c>
      <c r="D39" s="2" t="s">
        <v>144</v>
      </c>
      <c r="E39" s="10" t="s">
        <v>127</v>
      </c>
      <c r="F39" s="4"/>
      <c r="G39" s="4"/>
      <c r="H39" s="2" t="s">
        <v>164</v>
      </c>
      <c r="I39" s="2" t="s">
        <v>165</v>
      </c>
      <c r="J39" s="2"/>
      <c r="K39" s="2"/>
      <c r="L39" s="2"/>
      <c r="M39" s="2" t="s">
        <v>122</v>
      </c>
      <c r="N39" s="2" t="s">
        <v>74</v>
      </c>
      <c r="O39" s="2" t="s">
        <v>25</v>
      </c>
      <c r="P39" s="2"/>
      <c r="Q39" s="2"/>
      <c r="R39" s="2" t="s">
        <v>163</v>
      </c>
    </row>
    <row r="40" spans="1:18" ht="23.25" customHeight="1" x14ac:dyDescent="0.2">
      <c r="A40" s="2">
        <v>20</v>
      </c>
      <c r="B40" s="2" t="s">
        <v>166</v>
      </c>
      <c r="C40" s="2" t="s">
        <v>167</v>
      </c>
      <c r="D40" s="2" t="s">
        <v>168</v>
      </c>
      <c r="E40" s="10" t="s">
        <v>127</v>
      </c>
      <c r="F40" s="4">
        <v>5214447</v>
      </c>
      <c r="G40" s="4">
        <f>F40*0.7</f>
        <v>3650112.9</v>
      </c>
      <c r="H40" s="2" t="s">
        <v>169</v>
      </c>
      <c r="I40" s="2" t="s">
        <v>135</v>
      </c>
      <c r="J40" s="2"/>
      <c r="K40" s="2"/>
      <c r="L40" s="2"/>
      <c r="M40" s="2" t="s">
        <v>153</v>
      </c>
      <c r="N40" s="2"/>
      <c r="O40" s="2" t="s">
        <v>25</v>
      </c>
      <c r="P40" s="2"/>
      <c r="Q40" s="2"/>
      <c r="R40" s="2" t="s">
        <v>170</v>
      </c>
    </row>
    <row r="41" spans="1:18" ht="23.25" customHeight="1" x14ac:dyDescent="0.2">
      <c r="A41" s="2">
        <v>20</v>
      </c>
      <c r="B41" s="2" t="s">
        <v>166</v>
      </c>
      <c r="C41" s="2" t="s">
        <v>167</v>
      </c>
      <c r="D41" s="2" t="s">
        <v>168</v>
      </c>
      <c r="E41" s="10" t="s">
        <v>127</v>
      </c>
      <c r="F41" s="4"/>
      <c r="G41" s="4"/>
      <c r="H41" s="2" t="s">
        <v>171</v>
      </c>
      <c r="I41" s="2" t="s">
        <v>172</v>
      </c>
      <c r="J41" s="2"/>
      <c r="K41" s="2"/>
      <c r="L41" s="2"/>
      <c r="M41" s="2" t="s">
        <v>153</v>
      </c>
      <c r="N41" s="2"/>
      <c r="O41" s="2" t="s">
        <v>25</v>
      </c>
      <c r="P41" s="2"/>
      <c r="Q41" s="2"/>
      <c r="R41" s="2" t="s">
        <v>170</v>
      </c>
    </row>
    <row r="42" spans="1:18" ht="15" customHeight="1" x14ac:dyDescent="0.2">
      <c r="A42" s="2">
        <v>21</v>
      </c>
      <c r="B42" s="2" t="s">
        <v>173</v>
      </c>
      <c r="C42" s="2" t="s">
        <v>174</v>
      </c>
      <c r="D42" s="2" t="s">
        <v>62</v>
      </c>
      <c r="E42" s="10" t="s">
        <v>127</v>
      </c>
      <c r="F42" s="4">
        <v>4503492</v>
      </c>
      <c r="G42" s="4">
        <f>F42*0.7</f>
        <v>3152444.4</v>
      </c>
      <c r="H42" s="2" t="s">
        <v>175</v>
      </c>
      <c r="I42" s="2" t="s">
        <v>31</v>
      </c>
      <c r="J42" s="2"/>
      <c r="K42" s="2"/>
      <c r="L42" s="2"/>
      <c r="M42" s="2" t="s">
        <v>48</v>
      </c>
      <c r="N42" s="2"/>
      <c r="O42" s="2" t="s">
        <v>25</v>
      </c>
      <c r="P42" s="2"/>
      <c r="Q42" s="2"/>
      <c r="R42" s="2"/>
    </row>
    <row r="43" spans="1:18" ht="15" customHeight="1" x14ac:dyDescent="0.2">
      <c r="A43" s="2">
        <v>21</v>
      </c>
      <c r="B43" s="2" t="s">
        <v>173</v>
      </c>
      <c r="C43" s="2" t="s">
        <v>174</v>
      </c>
      <c r="D43" s="2" t="s">
        <v>62</v>
      </c>
      <c r="E43" s="10" t="s">
        <v>127</v>
      </c>
      <c r="F43" s="4"/>
      <c r="G43" s="4"/>
      <c r="H43" s="2" t="s">
        <v>176</v>
      </c>
      <c r="I43" s="2" t="s">
        <v>52</v>
      </c>
      <c r="J43" s="2"/>
      <c r="K43" s="2"/>
      <c r="L43" s="2"/>
      <c r="M43" s="2" t="s">
        <v>48</v>
      </c>
      <c r="N43" s="2"/>
      <c r="O43" s="2" t="s">
        <v>25</v>
      </c>
      <c r="P43" s="2"/>
      <c r="Q43" s="2"/>
      <c r="R43" s="2"/>
    </row>
    <row r="44" spans="1:18" ht="15" customHeight="1" x14ac:dyDescent="0.2">
      <c r="A44" s="2">
        <v>21</v>
      </c>
      <c r="B44" s="2" t="s">
        <v>173</v>
      </c>
      <c r="C44" s="2" t="s">
        <v>174</v>
      </c>
      <c r="D44" s="2" t="s">
        <v>62</v>
      </c>
      <c r="E44" s="10" t="s">
        <v>127</v>
      </c>
      <c r="F44" s="4"/>
      <c r="G44" s="4"/>
      <c r="H44" s="2" t="s">
        <v>38</v>
      </c>
      <c r="I44" s="2"/>
      <c r="J44" s="2"/>
      <c r="K44" s="2"/>
      <c r="L44" s="2"/>
      <c r="M44" s="2" t="s">
        <v>48</v>
      </c>
      <c r="N44" s="2"/>
      <c r="O44" s="2" t="s">
        <v>25</v>
      </c>
      <c r="P44" s="2"/>
      <c r="Q44" s="2"/>
      <c r="R44" s="2"/>
    </row>
    <row r="45" spans="1:18" ht="23.25" customHeight="1" x14ac:dyDescent="0.2">
      <c r="A45" s="2">
        <v>22</v>
      </c>
      <c r="B45" s="2" t="s">
        <v>177</v>
      </c>
      <c r="C45" s="2" t="s">
        <v>178</v>
      </c>
      <c r="D45" s="2" t="s">
        <v>179</v>
      </c>
      <c r="E45" s="11" t="s">
        <v>180</v>
      </c>
      <c r="F45" s="4">
        <v>3438225</v>
      </c>
      <c r="G45" s="4">
        <f>F45*0.7</f>
        <v>2406757.5</v>
      </c>
      <c r="H45" s="2" t="s">
        <v>181</v>
      </c>
      <c r="I45" s="2" t="s">
        <v>135</v>
      </c>
      <c r="J45" s="2"/>
      <c r="K45" s="2"/>
      <c r="L45" s="2"/>
      <c r="M45" s="2" t="s">
        <v>182</v>
      </c>
      <c r="N45" s="2"/>
      <c r="O45" s="2" t="s">
        <v>25</v>
      </c>
      <c r="P45" s="2"/>
      <c r="Q45" s="2"/>
      <c r="R45" s="2" t="s">
        <v>183</v>
      </c>
    </row>
    <row r="46" spans="1:18" ht="15" customHeight="1" x14ac:dyDescent="0.2">
      <c r="A46" s="2">
        <v>23</v>
      </c>
      <c r="B46" s="2" t="s">
        <v>184</v>
      </c>
      <c r="C46" s="2" t="s">
        <v>185</v>
      </c>
      <c r="D46" s="2" t="s">
        <v>186</v>
      </c>
      <c r="E46" s="11" t="s">
        <v>180</v>
      </c>
      <c r="F46" s="4">
        <v>3016314</v>
      </c>
      <c r="G46" s="4">
        <f>F46*0.7</f>
        <v>2111419.7999999998</v>
      </c>
      <c r="H46" s="2" t="s">
        <v>187</v>
      </c>
      <c r="I46" s="2" t="s">
        <v>31</v>
      </c>
      <c r="J46" s="2"/>
      <c r="K46" s="2"/>
      <c r="L46" s="2"/>
      <c r="M46" s="2" t="s">
        <v>73</v>
      </c>
      <c r="N46" s="2"/>
      <c r="O46" s="2" t="s">
        <v>25</v>
      </c>
      <c r="P46" s="2"/>
      <c r="Q46" s="2"/>
      <c r="R46" s="2"/>
    </row>
    <row r="47" spans="1:18" ht="15" customHeight="1" x14ac:dyDescent="0.2">
      <c r="A47" s="2">
        <v>23</v>
      </c>
      <c r="B47" s="2" t="s">
        <v>184</v>
      </c>
      <c r="C47" s="2" t="s">
        <v>185</v>
      </c>
      <c r="D47" s="2" t="s">
        <v>186</v>
      </c>
      <c r="E47" s="11" t="s">
        <v>180</v>
      </c>
      <c r="F47" s="4"/>
      <c r="G47" s="4"/>
      <c r="H47" s="2" t="s">
        <v>188</v>
      </c>
      <c r="I47" s="2" t="s">
        <v>189</v>
      </c>
      <c r="J47" s="2"/>
      <c r="K47" s="2"/>
      <c r="L47" s="2"/>
      <c r="M47" s="2" t="s">
        <v>73</v>
      </c>
      <c r="N47" s="2"/>
      <c r="O47" s="2" t="s">
        <v>25</v>
      </c>
      <c r="P47" s="2"/>
      <c r="Q47" s="2"/>
      <c r="R47" s="2"/>
    </row>
    <row r="48" spans="1:18" ht="15" customHeight="1" x14ac:dyDescent="0.2">
      <c r="A48" s="2">
        <v>24</v>
      </c>
      <c r="B48" s="2" t="s">
        <v>190</v>
      </c>
      <c r="C48" s="2" t="s">
        <v>191</v>
      </c>
      <c r="D48" s="2" t="s">
        <v>62</v>
      </c>
      <c r="E48" s="12" t="s">
        <v>192</v>
      </c>
      <c r="F48" s="4">
        <v>2163168</v>
      </c>
      <c r="G48" s="4">
        <f>F48*0.7</f>
        <v>1514217.5999999999</v>
      </c>
      <c r="H48" s="2" t="s">
        <v>193</v>
      </c>
      <c r="I48" s="2" t="s">
        <v>194</v>
      </c>
      <c r="J48" s="2"/>
      <c r="K48" s="2"/>
      <c r="L48" s="2"/>
      <c r="M48" s="2" t="s">
        <v>153</v>
      </c>
      <c r="N48" s="2"/>
      <c r="O48" s="2" t="s">
        <v>25</v>
      </c>
      <c r="P48" s="2"/>
      <c r="Q48" s="2"/>
      <c r="R48" s="2" t="s">
        <v>195</v>
      </c>
    </row>
    <row r="49" spans="1:18" ht="15" customHeight="1" x14ac:dyDescent="0.2">
      <c r="A49" s="2">
        <v>25</v>
      </c>
      <c r="B49" s="2" t="s">
        <v>196</v>
      </c>
      <c r="C49" s="2" t="s">
        <v>197</v>
      </c>
      <c r="D49" s="2" t="s">
        <v>198</v>
      </c>
      <c r="E49" s="12" t="s">
        <v>192</v>
      </c>
      <c r="F49" s="4">
        <v>1815849</v>
      </c>
      <c r="G49" s="4">
        <f>F49*0.7</f>
        <v>1271094.2999999998</v>
      </c>
      <c r="H49" s="2" t="s">
        <v>199</v>
      </c>
      <c r="I49" s="2" t="s">
        <v>172</v>
      </c>
      <c r="J49" s="2"/>
      <c r="K49" s="2"/>
      <c r="L49" s="2"/>
      <c r="M49" s="2" t="s">
        <v>73</v>
      </c>
      <c r="N49" s="2"/>
      <c r="O49" s="2" t="s">
        <v>25</v>
      </c>
      <c r="P49" s="2"/>
      <c r="Q49" s="2"/>
      <c r="R49" s="2"/>
    </row>
    <row r="50" spans="1:18" ht="15" customHeight="1" x14ac:dyDescent="0.2">
      <c r="A50" s="2">
        <v>25</v>
      </c>
      <c r="B50" s="2" t="s">
        <v>196</v>
      </c>
      <c r="C50" s="2" t="s">
        <v>197</v>
      </c>
      <c r="D50" s="2" t="s">
        <v>198</v>
      </c>
      <c r="E50" s="12" t="s">
        <v>192</v>
      </c>
      <c r="F50" s="4"/>
      <c r="G50" s="4"/>
      <c r="H50" s="2" t="s">
        <v>38</v>
      </c>
      <c r="I50" s="2"/>
      <c r="J50" s="2"/>
      <c r="K50" s="2"/>
      <c r="L50" s="2"/>
      <c r="M50" s="2" t="s">
        <v>73</v>
      </c>
      <c r="N50" s="2"/>
      <c r="O50" s="2" t="s">
        <v>25</v>
      </c>
      <c r="P50" s="2"/>
      <c r="Q50" s="2"/>
      <c r="R50" s="2"/>
    </row>
    <row r="51" spans="1:18" ht="15" customHeight="1" x14ac:dyDescent="0.2">
      <c r="A51" s="2">
        <v>26</v>
      </c>
      <c r="B51" s="2" t="s">
        <v>200</v>
      </c>
      <c r="C51" s="2" t="s">
        <v>201</v>
      </c>
      <c r="D51" s="2" t="s">
        <v>202</v>
      </c>
      <c r="E51" s="12" t="s">
        <v>192</v>
      </c>
      <c r="F51" s="4">
        <v>1801863</v>
      </c>
      <c r="G51" s="4">
        <f>F51*0.7</f>
        <v>1261304.0999999999</v>
      </c>
      <c r="H51" s="2" t="s">
        <v>203</v>
      </c>
      <c r="I51" s="2" t="s">
        <v>31</v>
      </c>
      <c r="J51" s="2"/>
      <c r="K51" s="2"/>
      <c r="L51" s="2"/>
      <c r="M51" s="2" t="s">
        <v>73</v>
      </c>
      <c r="N51" s="2"/>
      <c r="O51" s="2" t="s">
        <v>25</v>
      </c>
      <c r="P51" s="2"/>
      <c r="Q51" s="2"/>
      <c r="R51" s="2" t="s">
        <v>204</v>
      </c>
    </row>
    <row r="52" spans="1:18" ht="15" customHeight="1" x14ac:dyDescent="0.2">
      <c r="A52" s="2">
        <v>26</v>
      </c>
      <c r="B52" s="2" t="s">
        <v>200</v>
      </c>
      <c r="C52" s="2" t="s">
        <v>201</v>
      </c>
      <c r="D52" s="2" t="s">
        <v>202</v>
      </c>
      <c r="E52" s="12" t="s">
        <v>192</v>
      </c>
      <c r="F52" s="4"/>
      <c r="G52" s="4"/>
      <c r="H52" s="2" t="s">
        <v>205</v>
      </c>
      <c r="I52" s="2" t="s">
        <v>206</v>
      </c>
      <c r="J52" s="2"/>
      <c r="K52" s="2"/>
      <c r="L52" s="2"/>
      <c r="M52" s="2" t="s">
        <v>73</v>
      </c>
      <c r="N52" s="2"/>
      <c r="O52" s="2" t="s">
        <v>25</v>
      </c>
      <c r="P52" s="2"/>
      <c r="Q52" s="2"/>
      <c r="R52" s="2" t="s">
        <v>204</v>
      </c>
    </row>
    <row r="53" spans="1:18" ht="15" customHeight="1" x14ac:dyDescent="0.2">
      <c r="A53" s="2">
        <v>27</v>
      </c>
      <c r="B53" s="2" t="s">
        <v>207</v>
      </c>
      <c r="C53" s="2" t="s">
        <v>208</v>
      </c>
      <c r="D53" s="2" t="s">
        <v>62</v>
      </c>
      <c r="E53" s="12" t="s">
        <v>192</v>
      </c>
      <c r="F53" s="4">
        <v>1731933</v>
      </c>
      <c r="G53" s="4">
        <f>F53*0.7</f>
        <v>1212353.0999999999</v>
      </c>
      <c r="H53" s="2" t="s">
        <v>209</v>
      </c>
      <c r="I53" s="2" t="s">
        <v>210</v>
      </c>
      <c r="J53" s="2"/>
      <c r="K53" s="2"/>
      <c r="L53" s="2"/>
      <c r="M53" s="2" t="s">
        <v>73</v>
      </c>
      <c r="N53" s="2"/>
      <c r="O53" s="2" t="s">
        <v>25</v>
      </c>
      <c r="P53" s="2"/>
      <c r="Q53" s="2"/>
      <c r="R53" s="2"/>
    </row>
    <row r="54" spans="1:18" ht="15" customHeight="1" x14ac:dyDescent="0.2">
      <c r="A54" s="2">
        <v>27</v>
      </c>
      <c r="B54" s="2" t="s">
        <v>207</v>
      </c>
      <c r="C54" s="2" t="s">
        <v>208</v>
      </c>
      <c r="D54" s="2" t="s">
        <v>62</v>
      </c>
      <c r="E54" s="12" t="s">
        <v>192</v>
      </c>
      <c r="F54" s="4"/>
      <c r="G54" s="4"/>
      <c r="H54" s="2" t="s">
        <v>38</v>
      </c>
      <c r="I54" s="2"/>
      <c r="J54" s="2"/>
      <c r="K54" s="2"/>
      <c r="L54" s="2"/>
      <c r="M54" s="2" t="s">
        <v>73</v>
      </c>
      <c r="N54" s="2"/>
      <c r="O54" s="2" t="s">
        <v>25</v>
      </c>
      <c r="P54" s="2"/>
      <c r="Q54" s="2"/>
      <c r="R54" s="2"/>
    </row>
    <row r="55" spans="1:18" ht="15" customHeight="1" x14ac:dyDescent="0.2">
      <c r="A55" s="2">
        <v>28</v>
      </c>
      <c r="B55" s="2" t="s">
        <v>211</v>
      </c>
      <c r="C55" s="2" t="s">
        <v>212</v>
      </c>
      <c r="D55" s="2" t="s">
        <v>62</v>
      </c>
      <c r="E55" s="12" t="s">
        <v>192</v>
      </c>
      <c r="F55" s="4">
        <v>1703961</v>
      </c>
      <c r="G55" s="4">
        <f>F55*0.7</f>
        <v>1192772.7</v>
      </c>
      <c r="H55" s="2" t="s">
        <v>213</v>
      </c>
      <c r="I55" s="2" t="s">
        <v>214</v>
      </c>
      <c r="J55" s="2"/>
      <c r="K55" s="2"/>
      <c r="L55" s="2"/>
      <c r="M55" s="2" t="s">
        <v>153</v>
      </c>
      <c r="N55" s="2"/>
      <c r="O55" s="2" t="s">
        <v>25</v>
      </c>
      <c r="P55" s="2"/>
      <c r="Q55" s="2"/>
      <c r="R55" s="2" t="s">
        <v>215</v>
      </c>
    </row>
    <row r="56" spans="1:18" ht="15" customHeight="1" x14ac:dyDescent="0.2">
      <c r="A56" s="2">
        <v>29</v>
      </c>
      <c r="B56" s="2" t="s">
        <v>216</v>
      </c>
      <c r="C56" s="2" t="s">
        <v>217</v>
      </c>
      <c r="D56" s="2" t="s">
        <v>218</v>
      </c>
      <c r="E56" s="12" t="s">
        <v>192</v>
      </c>
      <c r="F56" s="4">
        <v>1484847</v>
      </c>
      <c r="G56" s="4">
        <f>F56*0.7</f>
        <v>1039392.8999999999</v>
      </c>
      <c r="H56" s="2" t="s">
        <v>219</v>
      </c>
      <c r="I56" s="2" t="s">
        <v>220</v>
      </c>
      <c r="J56" s="2"/>
      <c r="K56" s="2"/>
      <c r="L56" s="2"/>
      <c r="M56" s="2" t="s">
        <v>73</v>
      </c>
      <c r="N56" s="2"/>
      <c r="O56" s="2" t="s">
        <v>25</v>
      </c>
      <c r="P56" s="2"/>
      <c r="Q56" s="2"/>
      <c r="R56" s="2" t="s">
        <v>221</v>
      </c>
    </row>
    <row r="57" spans="1:18" ht="15" customHeight="1" x14ac:dyDescent="0.2">
      <c r="A57" s="2">
        <v>30</v>
      </c>
      <c r="B57" s="2" t="s">
        <v>222</v>
      </c>
      <c r="C57" s="2" t="s">
        <v>223</v>
      </c>
      <c r="D57" s="2" t="s">
        <v>224</v>
      </c>
      <c r="E57" s="12" t="s">
        <v>192</v>
      </c>
      <c r="F57" s="4">
        <v>871794</v>
      </c>
      <c r="G57" s="4">
        <f>F57*0.7</f>
        <v>610255.79999999993</v>
      </c>
      <c r="H57" s="2" t="s">
        <v>225</v>
      </c>
      <c r="I57" s="2" t="s">
        <v>172</v>
      </c>
      <c r="J57" s="2"/>
      <c r="K57" s="2"/>
      <c r="L57" s="2"/>
      <c r="M57" s="2" t="s">
        <v>73</v>
      </c>
      <c r="N57" s="2"/>
      <c r="O57" s="2" t="s">
        <v>25</v>
      </c>
      <c r="P57" s="2"/>
      <c r="Q57" s="2"/>
      <c r="R57" s="2"/>
    </row>
    <row r="58" spans="1:18" ht="15" customHeight="1" x14ac:dyDescent="0.2">
      <c r="A58" s="2">
        <v>30</v>
      </c>
      <c r="B58" s="2" t="s">
        <v>222</v>
      </c>
      <c r="C58" s="2" t="s">
        <v>223</v>
      </c>
      <c r="D58" s="2" t="s">
        <v>224</v>
      </c>
      <c r="E58" s="12" t="s">
        <v>192</v>
      </c>
      <c r="F58" s="4"/>
      <c r="G58" s="4"/>
      <c r="H58" s="2" t="s">
        <v>38</v>
      </c>
      <c r="I58" s="2"/>
      <c r="J58" s="2"/>
      <c r="K58" s="2"/>
      <c r="L58" s="2"/>
      <c r="M58" s="2" t="s">
        <v>73</v>
      </c>
      <c r="N58" s="2"/>
      <c r="O58" s="2" t="s">
        <v>25</v>
      </c>
      <c r="P58" s="2"/>
      <c r="Q58" s="2"/>
      <c r="R58" s="2"/>
    </row>
    <row r="59" spans="1:18" ht="23.25" customHeight="1" x14ac:dyDescent="0.2">
      <c r="A59" s="2">
        <v>31</v>
      </c>
      <c r="B59" s="2" t="s">
        <v>226</v>
      </c>
      <c r="C59" s="2" t="s">
        <v>155</v>
      </c>
      <c r="D59" s="2" t="s">
        <v>62</v>
      </c>
      <c r="E59" s="12" t="s">
        <v>192</v>
      </c>
      <c r="F59" s="4">
        <v>792540</v>
      </c>
      <c r="G59" s="4">
        <f>F59*0.7</f>
        <v>554778</v>
      </c>
      <c r="H59" s="2" t="s">
        <v>227</v>
      </c>
      <c r="I59" s="2"/>
      <c r="J59" s="2"/>
      <c r="K59" s="2"/>
      <c r="L59" s="2"/>
      <c r="M59" s="2" t="s">
        <v>228</v>
      </c>
      <c r="N59" s="2"/>
      <c r="O59" s="2" t="s">
        <v>25</v>
      </c>
      <c r="P59" s="2"/>
      <c r="Q59" s="2"/>
      <c r="R59" s="2" t="s">
        <v>229</v>
      </c>
    </row>
    <row r="60" spans="1:18" ht="23.25" customHeight="1" x14ac:dyDescent="0.2">
      <c r="A60" s="2">
        <v>32</v>
      </c>
      <c r="B60" s="2" t="s">
        <v>230</v>
      </c>
      <c r="C60" s="2" t="s">
        <v>231</v>
      </c>
      <c r="D60" s="2" t="s">
        <v>62</v>
      </c>
      <c r="E60" s="8" t="s">
        <v>95</v>
      </c>
      <c r="F60" s="4">
        <v>738927</v>
      </c>
      <c r="G60" s="4">
        <f>F60*0.7</f>
        <v>517248.89999999997</v>
      </c>
      <c r="H60" s="2" t="s">
        <v>232</v>
      </c>
      <c r="I60" s="2"/>
      <c r="J60" s="2"/>
      <c r="K60" s="2"/>
      <c r="L60" s="2"/>
      <c r="M60" s="2" t="s">
        <v>233</v>
      </c>
      <c r="N60" s="2"/>
      <c r="O60" s="2" t="s">
        <v>25</v>
      </c>
      <c r="P60" s="2"/>
      <c r="Q60" s="2"/>
      <c r="R60" s="2" t="s">
        <v>234</v>
      </c>
    </row>
    <row r="61" spans="1:18" ht="23.25" customHeight="1" x14ac:dyDescent="0.2">
      <c r="A61" s="2">
        <v>33</v>
      </c>
      <c r="B61" s="2" t="s">
        <v>235</v>
      </c>
      <c r="C61" s="2" t="s">
        <v>236</v>
      </c>
      <c r="D61" s="2" t="s">
        <v>62</v>
      </c>
      <c r="E61" s="12" t="s">
        <v>192</v>
      </c>
      <c r="F61" s="4">
        <v>582750</v>
      </c>
      <c r="G61" s="4">
        <f>F61*0.7</f>
        <v>407925</v>
      </c>
      <c r="H61" s="2" t="s">
        <v>237</v>
      </c>
      <c r="I61" s="2"/>
      <c r="J61" s="2"/>
      <c r="K61" s="2"/>
      <c r="L61" s="2"/>
      <c r="M61" s="2" t="s">
        <v>73</v>
      </c>
      <c r="N61" s="2"/>
      <c r="O61" s="2" t="s">
        <v>25</v>
      </c>
      <c r="P61" s="2"/>
      <c r="Q61" s="2"/>
      <c r="R61" s="2" t="s">
        <v>238</v>
      </c>
    </row>
    <row r="62" spans="1:18" ht="15" customHeight="1" x14ac:dyDescent="0.2">
      <c r="A62" s="2">
        <v>34</v>
      </c>
      <c r="B62" s="2" t="s">
        <v>239</v>
      </c>
      <c r="C62" s="2" t="s">
        <v>240</v>
      </c>
      <c r="D62" s="2" t="s">
        <v>241</v>
      </c>
      <c r="E62" s="12" t="s">
        <v>192</v>
      </c>
      <c r="F62" s="4">
        <v>487179</v>
      </c>
      <c r="G62" s="4">
        <f>F62*0.7</f>
        <v>341025.3</v>
      </c>
      <c r="H62" s="2" t="s">
        <v>242</v>
      </c>
      <c r="I62" s="2" t="s">
        <v>243</v>
      </c>
      <c r="J62" s="2"/>
      <c r="K62" s="2"/>
      <c r="L62" s="2"/>
      <c r="M62" s="2" t="s">
        <v>73</v>
      </c>
      <c r="N62" s="2"/>
      <c r="O62" s="2" t="s">
        <v>25</v>
      </c>
      <c r="P62" s="2"/>
      <c r="Q62" s="2"/>
      <c r="R62" s="2" t="s">
        <v>244</v>
      </c>
    </row>
    <row r="63" spans="1:18" ht="15" customHeight="1" x14ac:dyDescent="0.2">
      <c r="A63" s="2">
        <v>34</v>
      </c>
      <c r="B63" s="2" t="s">
        <v>239</v>
      </c>
      <c r="C63" s="2" t="s">
        <v>240</v>
      </c>
      <c r="D63" s="2" t="s">
        <v>241</v>
      </c>
      <c r="E63" s="12" t="s">
        <v>192</v>
      </c>
      <c r="F63" s="4"/>
      <c r="G63" s="4"/>
      <c r="H63" s="2" t="s">
        <v>245</v>
      </c>
      <c r="I63" s="2"/>
      <c r="J63" s="2"/>
      <c r="K63" s="2"/>
      <c r="L63" s="2"/>
      <c r="M63" s="2" t="s">
        <v>73</v>
      </c>
      <c r="N63" s="2"/>
      <c r="O63" s="2" t="s">
        <v>25</v>
      </c>
      <c r="P63" s="2"/>
      <c r="Q63" s="2"/>
      <c r="R63" s="2" t="s">
        <v>244</v>
      </c>
    </row>
    <row r="64" spans="1:18" ht="23.25" customHeight="1" x14ac:dyDescent="0.2">
      <c r="A64" s="2">
        <v>35</v>
      </c>
      <c r="B64" s="2" t="s">
        <v>246</v>
      </c>
      <c r="C64" s="2" t="s">
        <v>247</v>
      </c>
      <c r="D64" s="2" t="s">
        <v>248</v>
      </c>
      <c r="E64" s="12" t="s">
        <v>192</v>
      </c>
      <c r="F64" s="4">
        <v>240093</v>
      </c>
      <c r="G64" s="4">
        <f>F64*0.7</f>
        <v>168065.09999999998</v>
      </c>
      <c r="H64" s="2" t="s">
        <v>249</v>
      </c>
      <c r="I64" s="2"/>
      <c r="J64" s="2"/>
      <c r="K64" s="2"/>
      <c r="L64" s="2"/>
      <c r="M64" s="2" t="s">
        <v>250</v>
      </c>
      <c r="N64" s="2"/>
      <c r="O64" s="2" t="s">
        <v>25</v>
      </c>
      <c r="P64" s="2"/>
      <c r="Q64" s="2"/>
      <c r="R64" s="2" t="s">
        <v>251</v>
      </c>
    </row>
    <row r="65" spans="1:18" ht="15" customHeight="1" x14ac:dyDescent="0.2">
      <c r="A65" s="2">
        <v>35</v>
      </c>
      <c r="B65" s="2" t="s">
        <v>246</v>
      </c>
      <c r="C65" s="2" t="s">
        <v>247</v>
      </c>
      <c r="D65" s="2" t="s">
        <v>248</v>
      </c>
      <c r="E65" s="12" t="s">
        <v>192</v>
      </c>
      <c r="F65" s="4"/>
      <c r="G65" s="4"/>
      <c r="H65" s="2" t="s">
        <v>252</v>
      </c>
      <c r="I65" s="2"/>
      <c r="J65" s="2"/>
      <c r="K65" s="2"/>
      <c r="L65" s="2"/>
      <c r="M65" s="2" t="s">
        <v>250</v>
      </c>
      <c r="N65" s="2"/>
      <c r="O65" s="2" t="s">
        <v>25</v>
      </c>
      <c r="P65" s="2"/>
      <c r="Q65" s="2"/>
      <c r="R65" s="2" t="s">
        <v>251</v>
      </c>
    </row>
    <row r="67" spans="1:18" ht="15" customHeight="1" x14ac:dyDescent="0.2">
      <c r="H67" s="18" t="s">
        <v>253</v>
      </c>
      <c r="I67" s="18"/>
      <c r="J67" s="18"/>
      <c r="K67" s="18"/>
      <c r="L67" s="18"/>
    </row>
    <row r="68" spans="1:18" ht="34.5" customHeight="1" x14ac:dyDescent="0.2">
      <c r="A68" s="2">
        <v>3</v>
      </c>
      <c r="B68" s="2" t="s">
        <v>40</v>
      </c>
      <c r="C68" s="2" t="s">
        <v>41</v>
      </c>
      <c r="D68" s="2" t="s">
        <v>42</v>
      </c>
      <c r="E68" s="3" t="s">
        <v>21</v>
      </c>
      <c r="F68" s="2"/>
      <c r="G68" s="2"/>
      <c r="H68" s="2" t="s">
        <v>254</v>
      </c>
      <c r="I68" s="2" t="s">
        <v>255</v>
      </c>
      <c r="J68" s="2" t="s">
        <v>256</v>
      </c>
      <c r="K68" s="2" t="s">
        <v>33</v>
      </c>
      <c r="L68" s="2" t="s">
        <v>54</v>
      </c>
      <c r="M68" s="2" t="s">
        <v>48</v>
      </c>
      <c r="N68" s="2"/>
      <c r="O68" s="2" t="s">
        <v>36</v>
      </c>
      <c r="P68" s="2"/>
      <c r="Q68" s="2"/>
      <c r="R68" s="2" t="s">
        <v>257</v>
      </c>
    </row>
    <row r="69" spans="1:18" ht="34.5" customHeight="1" x14ac:dyDescent="0.2">
      <c r="A69" s="2">
        <v>3</v>
      </c>
      <c r="B69" s="2" t="s">
        <v>40</v>
      </c>
      <c r="C69" s="2" t="s">
        <v>41</v>
      </c>
      <c r="D69" s="2" t="s">
        <v>42</v>
      </c>
      <c r="E69" s="3" t="s">
        <v>21</v>
      </c>
      <c r="F69" s="2"/>
      <c r="G69" s="2"/>
      <c r="H69" s="2" t="s">
        <v>258</v>
      </c>
      <c r="I69" s="2" t="s">
        <v>259</v>
      </c>
      <c r="J69" s="2" t="s">
        <v>260</v>
      </c>
      <c r="K69" s="5" t="s">
        <v>46</v>
      </c>
      <c r="L69" s="2" t="s">
        <v>261</v>
      </c>
      <c r="M69" s="2" t="s">
        <v>48</v>
      </c>
      <c r="N69" s="2"/>
      <c r="O69" s="6" t="s">
        <v>49</v>
      </c>
      <c r="P69" s="2"/>
      <c r="Q69" s="2"/>
      <c r="R69" s="2" t="s">
        <v>262</v>
      </c>
    </row>
    <row r="70" spans="1:18" ht="45.75" customHeight="1" x14ac:dyDescent="0.2">
      <c r="A70" s="2">
        <v>4</v>
      </c>
      <c r="B70" s="2" t="s">
        <v>60</v>
      </c>
      <c r="C70" s="2" t="s">
        <v>61</v>
      </c>
      <c r="D70" s="2" t="s">
        <v>62</v>
      </c>
      <c r="E70" s="3" t="s">
        <v>21</v>
      </c>
      <c r="F70" s="2"/>
      <c r="G70" s="2"/>
      <c r="H70" s="2" t="s">
        <v>263</v>
      </c>
      <c r="I70" s="2" t="s">
        <v>264</v>
      </c>
      <c r="J70" s="2" t="s">
        <v>265</v>
      </c>
      <c r="K70" s="2" t="s">
        <v>33</v>
      </c>
      <c r="L70" s="2" t="s">
        <v>54</v>
      </c>
      <c r="M70" s="2" t="s">
        <v>65</v>
      </c>
      <c r="N70" s="2"/>
      <c r="O70" s="2" t="s">
        <v>36</v>
      </c>
      <c r="P70" s="2"/>
      <c r="Q70" s="2"/>
      <c r="R70" s="2" t="s">
        <v>266</v>
      </c>
    </row>
    <row r="71" spans="1:18" ht="45.75" customHeight="1" x14ac:dyDescent="0.2">
      <c r="A71" s="2">
        <v>4</v>
      </c>
      <c r="B71" s="2" t="s">
        <v>60</v>
      </c>
      <c r="C71" s="2" t="s">
        <v>61</v>
      </c>
      <c r="D71" s="2" t="s">
        <v>62</v>
      </c>
      <c r="E71" s="3" t="s">
        <v>21</v>
      </c>
      <c r="F71" s="2"/>
      <c r="G71" s="2"/>
      <c r="H71" s="2" t="s">
        <v>267</v>
      </c>
      <c r="I71" s="2" t="s">
        <v>268</v>
      </c>
      <c r="J71" s="2" t="s">
        <v>269</v>
      </c>
      <c r="K71" s="2" t="s">
        <v>33</v>
      </c>
      <c r="L71" s="2" t="s">
        <v>270</v>
      </c>
      <c r="M71" s="2" t="s">
        <v>65</v>
      </c>
      <c r="N71" s="2"/>
      <c r="O71" s="2" t="s">
        <v>36</v>
      </c>
      <c r="P71" s="2"/>
      <c r="Q71" s="2"/>
      <c r="R71" s="2" t="s">
        <v>271</v>
      </c>
    </row>
    <row r="72" spans="1:18" ht="45.75" customHeight="1" x14ac:dyDescent="0.2">
      <c r="A72" s="2">
        <v>4</v>
      </c>
      <c r="B72" s="2" t="s">
        <v>60</v>
      </c>
      <c r="C72" s="2" t="s">
        <v>61</v>
      </c>
      <c r="D72" s="2" t="s">
        <v>62</v>
      </c>
      <c r="E72" s="3" t="s">
        <v>21</v>
      </c>
      <c r="F72" s="2"/>
      <c r="G72" s="2"/>
      <c r="H72" s="2" t="s">
        <v>272</v>
      </c>
      <c r="I72" s="2" t="s">
        <v>273</v>
      </c>
      <c r="J72" s="2" t="s">
        <v>274</v>
      </c>
      <c r="K72" s="5" t="s">
        <v>46</v>
      </c>
      <c r="L72" s="2" t="s">
        <v>275</v>
      </c>
      <c r="M72" s="2" t="s">
        <v>65</v>
      </c>
      <c r="N72" s="2"/>
      <c r="O72" s="6" t="s">
        <v>49</v>
      </c>
      <c r="P72" s="2"/>
      <c r="Q72" s="2"/>
      <c r="R72" s="2" t="s">
        <v>276</v>
      </c>
    </row>
    <row r="73" spans="1:18" ht="34.5" customHeight="1" x14ac:dyDescent="0.2">
      <c r="A73" s="2">
        <v>4</v>
      </c>
      <c r="B73" s="2" t="s">
        <v>60</v>
      </c>
      <c r="C73" s="2" t="s">
        <v>61</v>
      </c>
      <c r="D73" s="2" t="s">
        <v>62</v>
      </c>
      <c r="E73" s="3" t="s">
        <v>21</v>
      </c>
      <c r="F73" s="2"/>
      <c r="G73" s="2"/>
      <c r="H73" s="2" t="s">
        <v>277</v>
      </c>
      <c r="I73" s="2" t="s">
        <v>278</v>
      </c>
      <c r="J73" s="2" t="s">
        <v>279</v>
      </c>
      <c r="K73" s="5" t="s">
        <v>46</v>
      </c>
      <c r="L73" s="2" t="s">
        <v>280</v>
      </c>
      <c r="M73" s="2" t="s">
        <v>65</v>
      </c>
      <c r="N73" s="2"/>
      <c r="O73" s="6" t="s">
        <v>49</v>
      </c>
      <c r="P73" s="2"/>
      <c r="Q73" s="2"/>
      <c r="R73" s="2" t="s">
        <v>281</v>
      </c>
    </row>
    <row r="74" spans="1:18" ht="34.5" customHeight="1" x14ac:dyDescent="0.2">
      <c r="A74" s="2">
        <v>2</v>
      </c>
      <c r="B74" s="2" t="s">
        <v>27</v>
      </c>
      <c r="C74" s="2" t="s">
        <v>28</v>
      </c>
      <c r="D74" s="2" t="s">
        <v>29</v>
      </c>
      <c r="E74" s="3" t="s">
        <v>21</v>
      </c>
      <c r="F74" s="2"/>
      <c r="G74" s="2"/>
      <c r="H74" s="2" t="s">
        <v>282</v>
      </c>
      <c r="I74" s="2" t="s">
        <v>283</v>
      </c>
      <c r="J74" s="2" t="s">
        <v>284</v>
      </c>
      <c r="K74" s="2" t="s">
        <v>33</v>
      </c>
      <c r="L74" s="2" t="s">
        <v>270</v>
      </c>
      <c r="M74" s="2" t="s">
        <v>35</v>
      </c>
      <c r="N74" s="2"/>
      <c r="O74" s="2" t="s">
        <v>36</v>
      </c>
      <c r="P74" s="2"/>
      <c r="Q74" s="2"/>
      <c r="R74" s="2" t="s">
        <v>285</v>
      </c>
    </row>
    <row r="75" spans="1:18" ht="45.75" customHeight="1" x14ac:dyDescent="0.2">
      <c r="A75" s="2">
        <v>2</v>
      </c>
      <c r="B75" s="2" t="s">
        <v>27</v>
      </c>
      <c r="C75" s="2" t="s">
        <v>28</v>
      </c>
      <c r="D75" s="2" t="s">
        <v>29</v>
      </c>
      <c r="E75" s="3" t="s">
        <v>21</v>
      </c>
      <c r="F75" s="2"/>
      <c r="G75" s="2"/>
      <c r="H75" s="2" t="s">
        <v>286</v>
      </c>
      <c r="I75" s="2" t="s">
        <v>287</v>
      </c>
      <c r="J75" s="2" t="s">
        <v>288</v>
      </c>
      <c r="K75" s="5" t="s">
        <v>46</v>
      </c>
      <c r="L75" s="2" t="s">
        <v>289</v>
      </c>
      <c r="M75" s="2" t="s">
        <v>35</v>
      </c>
      <c r="N75" s="2"/>
      <c r="O75" s="6" t="s">
        <v>49</v>
      </c>
      <c r="P75" s="2"/>
      <c r="Q75" s="2"/>
      <c r="R75" s="2" t="s">
        <v>290</v>
      </c>
    </row>
    <row r="76" spans="1:18" ht="34.5" customHeight="1" x14ac:dyDescent="0.2">
      <c r="A76" s="2">
        <v>2</v>
      </c>
      <c r="B76" s="2" t="s">
        <v>27</v>
      </c>
      <c r="C76" s="2" t="s">
        <v>28</v>
      </c>
      <c r="D76" s="2" t="s">
        <v>29</v>
      </c>
      <c r="E76" s="3" t="s">
        <v>21</v>
      </c>
      <c r="F76" s="2"/>
      <c r="G76" s="2"/>
      <c r="H76" s="2" t="s">
        <v>291</v>
      </c>
      <c r="I76" s="2" t="s">
        <v>292</v>
      </c>
      <c r="J76" s="2" t="s">
        <v>293</v>
      </c>
      <c r="K76" s="2" t="s">
        <v>33</v>
      </c>
      <c r="L76" s="2" t="s">
        <v>270</v>
      </c>
      <c r="M76" s="2" t="s">
        <v>35</v>
      </c>
      <c r="N76" s="2"/>
      <c r="O76" s="2" t="s">
        <v>36</v>
      </c>
      <c r="P76" s="2"/>
      <c r="Q76" s="2"/>
      <c r="R76" s="2" t="s">
        <v>294</v>
      </c>
    </row>
    <row r="77" spans="1:18" ht="34.5" customHeight="1" x14ac:dyDescent="0.2">
      <c r="A77" s="2">
        <v>2</v>
      </c>
      <c r="B77" s="2" t="s">
        <v>27</v>
      </c>
      <c r="C77" s="2" t="s">
        <v>28</v>
      </c>
      <c r="D77" s="2" t="s">
        <v>29</v>
      </c>
      <c r="E77" s="3" t="s">
        <v>21</v>
      </c>
      <c r="F77" s="2"/>
      <c r="G77" s="2"/>
      <c r="H77" s="2" t="s">
        <v>295</v>
      </c>
      <c r="I77" s="2" t="s">
        <v>296</v>
      </c>
      <c r="J77" s="2" t="s">
        <v>297</v>
      </c>
      <c r="K77" s="5" t="s">
        <v>46</v>
      </c>
      <c r="L77" s="2" t="s">
        <v>298</v>
      </c>
      <c r="M77" s="2" t="s">
        <v>35</v>
      </c>
      <c r="N77" s="2"/>
      <c r="O77" s="6" t="s">
        <v>49</v>
      </c>
      <c r="P77" s="2"/>
      <c r="Q77" s="2"/>
      <c r="R77" s="2" t="s">
        <v>299</v>
      </c>
    </row>
    <row r="78" spans="1:18" ht="34.5" customHeight="1" x14ac:dyDescent="0.2">
      <c r="A78" s="2">
        <v>6</v>
      </c>
      <c r="B78" s="2" t="s">
        <v>77</v>
      </c>
      <c r="C78" s="2" t="s">
        <v>78</v>
      </c>
      <c r="D78" s="2" t="s">
        <v>79</v>
      </c>
      <c r="E78" s="3" t="s">
        <v>21</v>
      </c>
      <c r="F78" s="2"/>
      <c r="G78" s="2"/>
      <c r="H78" s="2" t="s">
        <v>300</v>
      </c>
      <c r="I78" s="2" t="s">
        <v>301</v>
      </c>
      <c r="J78" s="2" t="s">
        <v>302</v>
      </c>
      <c r="K78" s="2" t="s">
        <v>33</v>
      </c>
      <c r="L78" s="2" t="s">
        <v>270</v>
      </c>
      <c r="M78" s="2" t="s">
        <v>48</v>
      </c>
      <c r="N78" s="2"/>
      <c r="O78" s="2" t="s">
        <v>36</v>
      </c>
      <c r="P78" s="2"/>
      <c r="Q78" s="2"/>
      <c r="R78" s="2" t="s">
        <v>303</v>
      </c>
    </row>
    <row r="79" spans="1:18" ht="45.75" customHeight="1" x14ac:dyDescent="0.2">
      <c r="A79" s="2">
        <v>6</v>
      </c>
      <c r="B79" s="2" t="s">
        <v>77</v>
      </c>
      <c r="C79" s="2" t="s">
        <v>78</v>
      </c>
      <c r="D79" s="2" t="s">
        <v>79</v>
      </c>
      <c r="E79" s="3" t="s">
        <v>21</v>
      </c>
      <c r="F79" s="2"/>
      <c r="G79" s="2"/>
      <c r="H79" s="2" t="s">
        <v>304</v>
      </c>
      <c r="I79" s="2" t="s">
        <v>305</v>
      </c>
      <c r="J79" s="2" t="s">
        <v>306</v>
      </c>
      <c r="K79" s="2" t="s">
        <v>33</v>
      </c>
      <c r="L79" s="2" t="s">
        <v>54</v>
      </c>
      <c r="M79" s="2" t="s">
        <v>48</v>
      </c>
      <c r="N79" s="2"/>
      <c r="O79" s="2" t="s">
        <v>36</v>
      </c>
      <c r="P79" s="2"/>
      <c r="Q79" s="2"/>
      <c r="R79" s="2" t="s">
        <v>307</v>
      </c>
    </row>
    <row r="80" spans="1:18" ht="34.5" customHeight="1" x14ac:dyDescent="0.2">
      <c r="A80" s="2">
        <v>6</v>
      </c>
      <c r="B80" s="2" t="s">
        <v>77</v>
      </c>
      <c r="C80" s="2" t="s">
        <v>78</v>
      </c>
      <c r="D80" s="2" t="s">
        <v>79</v>
      </c>
      <c r="E80" s="3" t="s">
        <v>21</v>
      </c>
      <c r="F80" s="2"/>
      <c r="G80" s="2"/>
      <c r="H80" s="2" t="s">
        <v>308</v>
      </c>
      <c r="I80" s="2" t="s">
        <v>309</v>
      </c>
      <c r="J80" s="2" t="s">
        <v>310</v>
      </c>
      <c r="K80" s="5" t="s">
        <v>46</v>
      </c>
      <c r="L80" s="2" t="s">
        <v>311</v>
      </c>
      <c r="M80" s="2" t="s">
        <v>48</v>
      </c>
      <c r="N80" s="2"/>
      <c r="O80" s="6" t="s">
        <v>49</v>
      </c>
      <c r="P80" s="2"/>
      <c r="Q80" s="2"/>
      <c r="R80" s="2" t="s">
        <v>312</v>
      </c>
    </row>
    <row r="81" spans="1:18" ht="34.5" customHeight="1" x14ac:dyDescent="0.2">
      <c r="A81" s="2">
        <v>6</v>
      </c>
      <c r="B81" s="2" t="s">
        <v>77</v>
      </c>
      <c r="C81" s="2" t="s">
        <v>78</v>
      </c>
      <c r="D81" s="2" t="s">
        <v>79</v>
      </c>
      <c r="E81" s="3" t="s">
        <v>21</v>
      </c>
      <c r="F81" s="2"/>
      <c r="G81" s="2"/>
      <c r="H81" s="2" t="s">
        <v>313</v>
      </c>
      <c r="I81" s="2" t="s">
        <v>314</v>
      </c>
      <c r="J81" s="2" t="s">
        <v>315</v>
      </c>
      <c r="K81" s="5" t="s">
        <v>46</v>
      </c>
      <c r="L81" s="2" t="s">
        <v>316</v>
      </c>
      <c r="M81" s="2" t="s">
        <v>48</v>
      </c>
      <c r="N81" s="2"/>
      <c r="O81" s="6" t="s">
        <v>49</v>
      </c>
      <c r="P81" s="2"/>
      <c r="Q81" s="2"/>
      <c r="R81" s="2" t="s">
        <v>317</v>
      </c>
    </row>
    <row r="82" spans="1:18" ht="34.5" customHeight="1" x14ac:dyDescent="0.2">
      <c r="A82" s="2">
        <v>6</v>
      </c>
      <c r="B82" s="2" t="s">
        <v>77</v>
      </c>
      <c r="C82" s="2" t="s">
        <v>78</v>
      </c>
      <c r="D82" s="2" t="s">
        <v>79</v>
      </c>
      <c r="E82" s="3" t="s">
        <v>21</v>
      </c>
      <c r="F82" s="2"/>
      <c r="G82" s="2"/>
      <c r="H82" s="2" t="s">
        <v>318</v>
      </c>
      <c r="I82" s="2" t="s">
        <v>319</v>
      </c>
      <c r="J82" s="2" t="s">
        <v>320</v>
      </c>
      <c r="K82" s="5" t="s">
        <v>46</v>
      </c>
      <c r="L82" s="2" t="s">
        <v>54</v>
      </c>
      <c r="M82" s="2" t="s">
        <v>48</v>
      </c>
      <c r="N82" s="2"/>
      <c r="O82" s="2" t="s">
        <v>36</v>
      </c>
      <c r="P82" s="2"/>
      <c r="Q82" s="2"/>
      <c r="R82" s="2" t="s">
        <v>321</v>
      </c>
    </row>
    <row r="83" spans="1:18" ht="57" customHeight="1" x14ac:dyDescent="0.2">
      <c r="A83" s="2">
        <v>7</v>
      </c>
      <c r="B83" s="2" t="s">
        <v>85</v>
      </c>
      <c r="C83" s="2" t="s">
        <v>86</v>
      </c>
      <c r="D83" s="2" t="s">
        <v>87</v>
      </c>
      <c r="E83" s="3" t="s">
        <v>21</v>
      </c>
      <c r="F83" s="2"/>
      <c r="G83" s="2"/>
      <c r="H83" s="2" t="s">
        <v>322</v>
      </c>
      <c r="I83" s="2" t="s">
        <v>323</v>
      </c>
      <c r="J83" s="2" t="s">
        <v>324</v>
      </c>
      <c r="K83" s="2" t="s">
        <v>33</v>
      </c>
      <c r="L83" s="2" t="s">
        <v>54</v>
      </c>
      <c r="M83" s="2" t="s">
        <v>48</v>
      </c>
      <c r="N83" s="2"/>
      <c r="O83" s="2" t="s">
        <v>36</v>
      </c>
      <c r="P83" s="2"/>
      <c r="Q83" s="2"/>
      <c r="R83" s="2" t="s">
        <v>325</v>
      </c>
    </row>
    <row r="84" spans="1:18" ht="34.5" customHeight="1" x14ac:dyDescent="0.2">
      <c r="A84" s="2">
        <v>7</v>
      </c>
      <c r="B84" s="2" t="s">
        <v>85</v>
      </c>
      <c r="C84" s="2" t="s">
        <v>86</v>
      </c>
      <c r="D84" s="2" t="s">
        <v>87</v>
      </c>
      <c r="E84" s="3" t="s">
        <v>21</v>
      </c>
      <c r="F84" s="2"/>
      <c r="G84" s="2"/>
      <c r="H84" s="2" t="s">
        <v>326</v>
      </c>
      <c r="I84" s="2" t="s">
        <v>327</v>
      </c>
      <c r="J84" s="2" t="s">
        <v>328</v>
      </c>
      <c r="K84" s="5" t="s">
        <v>46</v>
      </c>
      <c r="L84" s="2" t="s">
        <v>329</v>
      </c>
      <c r="M84" s="2" t="s">
        <v>48</v>
      </c>
      <c r="N84" s="2"/>
      <c r="O84" s="6" t="s">
        <v>49</v>
      </c>
      <c r="P84" s="2"/>
      <c r="Q84" s="2"/>
      <c r="R84" s="2" t="s">
        <v>330</v>
      </c>
    </row>
    <row r="85" spans="1:18" ht="23.25" customHeight="1" x14ac:dyDescent="0.2">
      <c r="A85" s="2">
        <v>7</v>
      </c>
      <c r="B85" s="2" t="s">
        <v>85</v>
      </c>
      <c r="C85" s="2" t="s">
        <v>86</v>
      </c>
      <c r="D85" s="2" t="s">
        <v>87</v>
      </c>
      <c r="E85" s="3" t="s">
        <v>21</v>
      </c>
      <c r="F85" s="2"/>
      <c r="G85" s="2"/>
      <c r="H85" s="2" t="s">
        <v>331</v>
      </c>
      <c r="I85" s="2" t="s">
        <v>332</v>
      </c>
      <c r="J85" s="2" t="s">
        <v>333</v>
      </c>
      <c r="K85" s="2" t="s">
        <v>33</v>
      </c>
      <c r="L85" s="2" t="s">
        <v>54</v>
      </c>
      <c r="M85" s="2" t="s">
        <v>48</v>
      </c>
      <c r="N85" s="2"/>
      <c r="O85" s="2" t="s">
        <v>36</v>
      </c>
      <c r="P85" s="2"/>
      <c r="Q85" s="2"/>
      <c r="R85" s="2" t="s">
        <v>334</v>
      </c>
    </row>
    <row r="86" spans="1:18" ht="23.25" customHeight="1" x14ac:dyDescent="0.2">
      <c r="A86" s="2">
        <v>7</v>
      </c>
      <c r="B86" s="2" t="s">
        <v>85</v>
      </c>
      <c r="C86" s="2" t="s">
        <v>86</v>
      </c>
      <c r="D86" s="2" t="s">
        <v>87</v>
      </c>
      <c r="E86" s="3" t="s">
        <v>21</v>
      </c>
      <c r="F86" s="2"/>
      <c r="G86" s="2"/>
      <c r="H86" s="2" t="s">
        <v>335</v>
      </c>
      <c r="I86" s="2" t="s">
        <v>336</v>
      </c>
      <c r="J86" s="2" t="s">
        <v>337</v>
      </c>
      <c r="K86" s="2" t="s">
        <v>33</v>
      </c>
      <c r="L86" s="2" t="s">
        <v>338</v>
      </c>
      <c r="M86" s="2" t="s">
        <v>48</v>
      </c>
      <c r="N86" s="2"/>
      <c r="O86" s="2" t="s">
        <v>36</v>
      </c>
      <c r="P86" s="2"/>
      <c r="Q86" s="2"/>
      <c r="R86" s="2" t="s">
        <v>339</v>
      </c>
    </row>
    <row r="87" spans="1:18" ht="23.25" customHeight="1" x14ac:dyDescent="0.2">
      <c r="A87" s="2">
        <v>9</v>
      </c>
      <c r="B87" s="2" t="s">
        <v>98</v>
      </c>
      <c r="C87" s="2" t="s">
        <v>99</v>
      </c>
      <c r="D87" s="2" t="s">
        <v>62</v>
      </c>
      <c r="E87" s="3" t="s">
        <v>21</v>
      </c>
      <c r="F87" s="2"/>
      <c r="G87" s="2"/>
      <c r="H87" s="2" t="s">
        <v>340</v>
      </c>
      <c r="I87" s="2" t="s">
        <v>341</v>
      </c>
      <c r="J87" s="2" t="s">
        <v>342</v>
      </c>
      <c r="K87" s="2" t="s">
        <v>33</v>
      </c>
      <c r="L87" s="2" t="s">
        <v>270</v>
      </c>
      <c r="M87" s="2" t="s">
        <v>73</v>
      </c>
      <c r="N87" s="2"/>
      <c r="O87" s="2" t="s">
        <v>36</v>
      </c>
      <c r="P87" s="2"/>
      <c r="Q87" s="2"/>
      <c r="R87" s="2" t="s">
        <v>343</v>
      </c>
    </row>
    <row r="88" spans="1:18" ht="23.25" customHeight="1" x14ac:dyDescent="0.2">
      <c r="A88" s="2">
        <v>9</v>
      </c>
      <c r="B88" s="2" t="s">
        <v>98</v>
      </c>
      <c r="C88" s="2" t="s">
        <v>99</v>
      </c>
      <c r="D88" s="2" t="s">
        <v>62</v>
      </c>
      <c r="E88" s="3" t="s">
        <v>21</v>
      </c>
      <c r="F88" s="2"/>
      <c r="G88" s="2"/>
      <c r="H88" s="2" t="s">
        <v>344</v>
      </c>
      <c r="I88" s="2" t="s">
        <v>345</v>
      </c>
      <c r="J88" s="2" t="s">
        <v>346</v>
      </c>
      <c r="K88" s="5" t="s">
        <v>46</v>
      </c>
      <c r="L88" s="2" t="s">
        <v>347</v>
      </c>
      <c r="M88" s="2" t="s">
        <v>73</v>
      </c>
      <c r="N88" s="2"/>
      <c r="O88" s="6" t="s">
        <v>49</v>
      </c>
      <c r="P88" s="2"/>
      <c r="Q88" s="2"/>
      <c r="R88" s="2" t="s">
        <v>348</v>
      </c>
    </row>
    <row r="89" spans="1:18" ht="45.75" customHeight="1" x14ac:dyDescent="0.2">
      <c r="A89" s="2">
        <v>9</v>
      </c>
      <c r="B89" s="2" t="s">
        <v>98</v>
      </c>
      <c r="C89" s="2" t="s">
        <v>99</v>
      </c>
      <c r="D89" s="2" t="s">
        <v>62</v>
      </c>
      <c r="E89" s="3" t="s">
        <v>21</v>
      </c>
      <c r="F89" s="2"/>
      <c r="G89" s="2"/>
      <c r="H89" s="2" t="s">
        <v>349</v>
      </c>
      <c r="I89" s="2" t="s">
        <v>350</v>
      </c>
      <c r="J89" s="2" t="s">
        <v>351</v>
      </c>
      <c r="K89" s="5" t="s">
        <v>46</v>
      </c>
      <c r="L89" s="2" t="s">
        <v>352</v>
      </c>
      <c r="M89" s="2" t="s">
        <v>73</v>
      </c>
      <c r="N89" s="2"/>
      <c r="O89" s="2" t="s">
        <v>36</v>
      </c>
      <c r="P89" s="2"/>
      <c r="Q89" s="2"/>
      <c r="R89" s="2" t="s">
        <v>353</v>
      </c>
    </row>
    <row r="90" spans="1:18" ht="34.5" customHeight="1" x14ac:dyDescent="0.2">
      <c r="A90" s="2">
        <v>9</v>
      </c>
      <c r="B90" s="2" t="s">
        <v>98</v>
      </c>
      <c r="C90" s="2" t="s">
        <v>99</v>
      </c>
      <c r="D90" s="2" t="s">
        <v>62</v>
      </c>
      <c r="E90" s="3" t="s">
        <v>21</v>
      </c>
      <c r="F90" s="2"/>
      <c r="G90" s="2"/>
      <c r="H90" s="2" t="s">
        <v>354</v>
      </c>
      <c r="I90" s="2" t="s">
        <v>355</v>
      </c>
      <c r="J90" s="2" t="s">
        <v>356</v>
      </c>
      <c r="K90" s="5" t="s">
        <v>46</v>
      </c>
      <c r="L90" s="2" t="s">
        <v>357</v>
      </c>
      <c r="M90" s="2" t="s">
        <v>73</v>
      </c>
      <c r="N90" s="2"/>
      <c r="O90" s="6" t="s">
        <v>49</v>
      </c>
      <c r="P90" s="2"/>
      <c r="Q90" s="2"/>
      <c r="R90" s="2" t="s">
        <v>358</v>
      </c>
    </row>
    <row r="91" spans="1:18" ht="34.5" customHeight="1" x14ac:dyDescent="0.2">
      <c r="A91" s="2">
        <v>10</v>
      </c>
      <c r="B91" s="2" t="s">
        <v>102</v>
      </c>
      <c r="C91" s="2" t="s">
        <v>103</v>
      </c>
      <c r="D91" s="2" t="s">
        <v>62</v>
      </c>
      <c r="E91" s="3" t="s">
        <v>21</v>
      </c>
      <c r="F91" s="2"/>
      <c r="G91" s="2"/>
      <c r="H91" s="2" t="s">
        <v>359</v>
      </c>
      <c r="I91" s="2" t="s">
        <v>360</v>
      </c>
      <c r="J91" s="2" t="s">
        <v>361</v>
      </c>
      <c r="K91" s="2" t="s">
        <v>33</v>
      </c>
      <c r="L91" s="2" t="s">
        <v>54</v>
      </c>
      <c r="M91" s="2" t="s">
        <v>73</v>
      </c>
      <c r="N91" s="2"/>
      <c r="O91" s="2" t="s">
        <v>36</v>
      </c>
      <c r="P91" s="2"/>
      <c r="Q91" s="2"/>
      <c r="R91" s="2" t="s">
        <v>362</v>
      </c>
    </row>
    <row r="92" spans="1:18" ht="57" customHeight="1" x14ac:dyDescent="0.2">
      <c r="A92" s="2">
        <v>10</v>
      </c>
      <c r="B92" s="2" t="s">
        <v>102</v>
      </c>
      <c r="C92" s="2" t="s">
        <v>103</v>
      </c>
      <c r="D92" s="2" t="s">
        <v>62</v>
      </c>
      <c r="E92" s="3" t="s">
        <v>21</v>
      </c>
      <c r="F92" s="2"/>
      <c r="G92" s="2"/>
      <c r="H92" s="2" t="s">
        <v>363</v>
      </c>
      <c r="I92" s="2" t="s">
        <v>364</v>
      </c>
      <c r="J92" s="2" t="s">
        <v>365</v>
      </c>
      <c r="K92" s="5" t="s">
        <v>46</v>
      </c>
      <c r="L92" s="2" t="s">
        <v>298</v>
      </c>
      <c r="M92" s="2" t="s">
        <v>73</v>
      </c>
      <c r="N92" s="2"/>
      <c r="O92" s="6" t="s">
        <v>49</v>
      </c>
      <c r="P92" s="2"/>
      <c r="Q92" s="2"/>
      <c r="R92" s="2" t="s">
        <v>366</v>
      </c>
    </row>
    <row r="93" spans="1:18" ht="34.5" customHeight="1" x14ac:dyDescent="0.2">
      <c r="A93" s="2">
        <v>10</v>
      </c>
      <c r="B93" s="2" t="s">
        <v>102</v>
      </c>
      <c r="C93" s="2" t="s">
        <v>103</v>
      </c>
      <c r="D93" s="2" t="s">
        <v>62</v>
      </c>
      <c r="E93" s="3" t="s">
        <v>21</v>
      </c>
      <c r="F93" s="2"/>
      <c r="G93" s="2"/>
      <c r="H93" s="2" t="s">
        <v>367</v>
      </c>
      <c r="I93" s="2" t="s">
        <v>368</v>
      </c>
      <c r="J93" s="2" t="s">
        <v>369</v>
      </c>
      <c r="K93" s="5" t="s">
        <v>46</v>
      </c>
      <c r="L93" s="2" t="s">
        <v>329</v>
      </c>
      <c r="M93" s="2" t="s">
        <v>73</v>
      </c>
      <c r="N93" s="2"/>
      <c r="O93" s="6" t="s">
        <v>49</v>
      </c>
      <c r="P93" s="2"/>
      <c r="Q93" s="2"/>
      <c r="R93" s="2" t="s">
        <v>370</v>
      </c>
    </row>
    <row r="94" spans="1:18" ht="45.75" customHeight="1" x14ac:dyDescent="0.2">
      <c r="A94" s="2">
        <v>10</v>
      </c>
      <c r="B94" s="2" t="s">
        <v>102</v>
      </c>
      <c r="C94" s="2" t="s">
        <v>103</v>
      </c>
      <c r="D94" s="2" t="s">
        <v>62</v>
      </c>
      <c r="E94" s="3" t="s">
        <v>21</v>
      </c>
      <c r="F94" s="2"/>
      <c r="G94" s="2"/>
      <c r="H94" s="2" t="s">
        <v>371</v>
      </c>
      <c r="I94" s="2" t="s">
        <v>372</v>
      </c>
      <c r="J94" s="2" t="s">
        <v>373</v>
      </c>
      <c r="K94" s="5" t="s">
        <v>46</v>
      </c>
      <c r="L94" s="2" t="s">
        <v>374</v>
      </c>
      <c r="M94" s="2" t="s">
        <v>73</v>
      </c>
      <c r="N94" s="2"/>
      <c r="O94" s="6" t="s">
        <v>49</v>
      </c>
      <c r="P94" s="2"/>
      <c r="Q94" s="2"/>
      <c r="R94" s="2" t="s">
        <v>375</v>
      </c>
    </row>
    <row r="95" spans="1:18" ht="34.5" customHeight="1" x14ac:dyDescent="0.2">
      <c r="A95" s="2">
        <v>15</v>
      </c>
      <c r="B95" s="2" t="s">
        <v>137</v>
      </c>
      <c r="C95" s="2" t="s">
        <v>138</v>
      </c>
      <c r="D95" s="2" t="s">
        <v>62</v>
      </c>
      <c r="E95" s="10" t="s">
        <v>127</v>
      </c>
      <c r="F95" s="2"/>
      <c r="G95" s="2"/>
      <c r="H95" s="2" t="s">
        <v>376</v>
      </c>
      <c r="I95" s="2" t="s">
        <v>377</v>
      </c>
      <c r="J95" s="2" t="s">
        <v>378</v>
      </c>
      <c r="K95" s="5" t="s">
        <v>46</v>
      </c>
      <c r="L95" s="2" t="s">
        <v>379</v>
      </c>
      <c r="M95" s="2" t="s">
        <v>73</v>
      </c>
      <c r="N95" s="2"/>
      <c r="O95" s="6" t="s">
        <v>49</v>
      </c>
      <c r="P95" s="2"/>
      <c r="Q95" s="2"/>
      <c r="R95" s="2" t="s">
        <v>380</v>
      </c>
    </row>
    <row r="96" spans="1:18" ht="45.75" customHeight="1" x14ac:dyDescent="0.2">
      <c r="A96" s="2">
        <v>15</v>
      </c>
      <c r="B96" s="2" t="s">
        <v>137</v>
      </c>
      <c r="C96" s="2" t="s">
        <v>138</v>
      </c>
      <c r="D96" s="2" t="s">
        <v>62</v>
      </c>
      <c r="E96" s="10" t="s">
        <v>127</v>
      </c>
      <c r="F96" s="2"/>
      <c r="G96" s="2"/>
      <c r="H96" s="2" t="s">
        <v>381</v>
      </c>
      <c r="I96" s="2" t="s">
        <v>377</v>
      </c>
      <c r="J96" s="2" t="s">
        <v>382</v>
      </c>
      <c r="K96" s="5" t="s">
        <v>46</v>
      </c>
      <c r="L96" s="2" t="s">
        <v>383</v>
      </c>
      <c r="M96" s="2" t="s">
        <v>73</v>
      </c>
      <c r="N96" s="2"/>
      <c r="O96" s="6" t="s">
        <v>49</v>
      </c>
      <c r="P96" s="2"/>
      <c r="Q96" s="2"/>
      <c r="R96" s="2" t="s">
        <v>384</v>
      </c>
    </row>
    <row r="97" spans="1:18" ht="45.75" customHeight="1" x14ac:dyDescent="0.2">
      <c r="A97" s="2">
        <v>15</v>
      </c>
      <c r="B97" s="2" t="s">
        <v>137</v>
      </c>
      <c r="C97" s="2" t="s">
        <v>138</v>
      </c>
      <c r="D97" s="2" t="s">
        <v>62</v>
      </c>
      <c r="E97" s="10" t="s">
        <v>127</v>
      </c>
      <c r="F97" s="2"/>
      <c r="G97" s="2"/>
      <c r="H97" s="2" t="s">
        <v>385</v>
      </c>
      <c r="I97" s="2" t="s">
        <v>386</v>
      </c>
      <c r="J97" s="2" t="s">
        <v>387</v>
      </c>
      <c r="K97" s="2" t="s">
        <v>33</v>
      </c>
      <c r="L97" s="2" t="s">
        <v>388</v>
      </c>
      <c r="M97" s="2" t="s">
        <v>73</v>
      </c>
      <c r="N97" s="2"/>
      <c r="O97" s="2" t="s">
        <v>36</v>
      </c>
      <c r="P97" s="2"/>
      <c r="Q97" s="2"/>
      <c r="R97" s="2" t="s">
        <v>389</v>
      </c>
    </row>
    <row r="98" spans="1:18" ht="34.5" customHeight="1" x14ac:dyDescent="0.2">
      <c r="A98" s="2">
        <v>15</v>
      </c>
      <c r="B98" s="2" t="s">
        <v>137</v>
      </c>
      <c r="C98" s="2" t="s">
        <v>138</v>
      </c>
      <c r="D98" s="2" t="s">
        <v>62</v>
      </c>
      <c r="E98" s="10" t="s">
        <v>127</v>
      </c>
      <c r="F98" s="2"/>
      <c r="G98" s="2"/>
      <c r="H98" s="2" t="s">
        <v>390</v>
      </c>
      <c r="I98" s="2" t="s">
        <v>391</v>
      </c>
      <c r="J98" s="2" t="s">
        <v>392</v>
      </c>
      <c r="K98" s="2" t="s">
        <v>33</v>
      </c>
      <c r="L98" s="2" t="s">
        <v>54</v>
      </c>
      <c r="M98" s="2" t="s">
        <v>73</v>
      </c>
      <c r="N98" s="2"/>
      <c r="O98" s="2" t="s">
        <v>36</v>
      </c>
      <c r="P98" s="2"/>
      <c r="Q98" s="2"/>
      <c r="R98" s="2" t="s">
        <v>393</v>
      </c>
    </row>
    <row r="99" spans="1:18" ht="70" x14ac:dyDescent="0.2">
      <c r="A99" s="2">
        <v>14</v>
      </c>
      <c r="B99" s="2" t="s">
        <v>132</v>
      </c>
      <c r="C99" s="2" t="s">
        <v>133</v>
      </c>
      <c r="D99" s="2" t="s">
        <v>120</v>
      </c>
      <c r="E99" s="10" t="s">
        <v>127</v>
      </c>
      <c r="F99" s="2"/>
      <c r="G99" s="2"/>
      <c r="H99" s="2" t="s">
        <v>394</v>
      </c>
      <c r="I99" s="2" t="s">
        <v>395</v>
      </c>
      <c r="J99" s="2" t="s">
        <v>396</v>
      </c>
      <c r="K99" s="2" t="s">
        <v>33</v>
      </c>
      <c r="L99" s="2" t="s">
        <v>397</v>
      </c>
      <c r="M99" s="2" t="s">
        <v>48</v>
      </c>
      <c r="N99" s="2"/>
      <c r="O99" s="7" t="s">
        <v>55</v>
      </c>
      <c r="P99" s="2"/>
      <c r="Q99" s="2"/>
      <c r="R99" s="2" t="s">
        <v>398</v>
      </c>
    </row>
    <row r="100" spans="1:18" ht="42" x14ac:dyDescent="0.2">
      <c r="A100" s="2">
        <v>18</v>
      </c>
      <c r="B100" s="2" t="s">
        <v>155</v>
      </c>
      <c r="C100" s="2" t="s">
        <v>156</v>
      </c>
      <c r="D100" s="2" t="s">
        <v>62</v>
      </c>
      <c r="E100" s="10" t="s">
        <v>127</v>
      </c>
      <c r="F100" s="2"/>
      <c r="G100" s="2"/>
      <c r="H100" s="2" t="s">
        <v>399</v>
      </c>
      <c r="I100" s="2" t="s">
        <v>400</v>
      </c>
      <c r="J100" s="2" t="s">
        <v>401</v>
      </c>
      <c r="K100" s="2" t="s">
        <v>402</v>
      </c>
      <c r="L100" s="2" t="s">
        <v>403</v>
      </c>
      <c r="M100" s="2" t="s">
        <v>73</v>
      </c>
      <c r="N100" s="2"/>
      <c r="O100" s="2" t="s">
        <v>36</v>
      </c>
      <c r="P100" s="2"/>
      <c r="Q100" s="2"/>
      <c r="R100" s="2" t="s">
        <v>404</v>
      </c>
    </row>
    <row r="101" spans="1:18" ht="56" x14ac:dyDescent="0.2">
      <c r="A101" s="2">
        <v>18</v>
      </c>
      <c r="B101" s="2" t="s">
        <v>155</v>
      </c>
      <c r="C101" s="2" t="s">
        <v>156</v>
      </c>
      <c r="D101" s="2" t="s">
        <v>62</v>
      </c>
      <c r="E101" s="10" t="s">
        <v>127</v>
      </c>
      <c r="F101" s="2"/>
      <c r="G101" s="2"/>
      <c r="H101" s="2" t="s">
        <v>405</v>
      </c>
      <c r="I101" s="2" t="s">
        <v>406</v>
      </c>
      <c r="J101" s="2" t="s">
        <v>407</v>
      </c>
      <c r="K101" s="5" t="s">
        <v>46</v>
      </c>
      <c r="L101" s="2" t="s">
        <v>347</v>
      </c>
      <c r="M101" s="2" t="s">
        <v>73</v>
      </c>
      <c r="N101" s="2"/>
      <c r="O101" s="6" t="s">
        <v>49</v>
      </c>
      <c r="P101" s="2"/>
      <c r="Q101" s="2"/>
      <c r="R101" s="2" t="s">
        <v>408</v>
      </c>
    </row>
    <row r="102" spans="1:18" ht="56" x14ac:dyDescent="0.2">
      <c r="A102" s="2">
        <v>18</v>
      </c>
      <c r="B102" s="2" t="s">
        <v>155</v>
      </c>
      <c r="C102" s="2" t="s">
        <v>156</v>
      </c>
      <c r="D102" s="2" t="s">
        <v>62</v>
      </c>
      <c r="E102" s="10" t="s">
        <v>127</v>
      </c>
      <c r="F102" s="2"/>
      <c r="G102" s="2"/>
      <c r="H102" s="2" t="s">
        <v>409</v>
      </c>
      <c r="I102" s="2" t="s">
        <v>410</v>
      </c>
      <c r="J102" s="2" t="s">
        <v>411</v>
      </c>
      <c r="K102" s="5" t="s">
        <v>46</v>
      </c>
      <c r="L102" s="2" t="s">
        <v>412</v>
      </c>
      <c r="M102" s="2" t="s">
        <v>73</v>
      </c>
      <c r="N102" s="2"/>
      <c r="O102" s="6" t="s">
        <v>49</v>
      </c>
      <c r="P102" s="2"/>
      <c r="Q102" s="2"/>
      <c r="R102" s="2" t="s">
        <v>413</v>
      </c>
    </row>
    <row r="103" spans="1:18" ht="56" x14ac:dyDescent="0.2">
      <c r="A103" s="2">
        <v>18</v>
      </c>
      <c r="B103" s="2" t="s">
        <v>155</v>
      </c>
      <c r="C103" s="2" t="s">
        <v>156</v>
      </c>
      <c r="D103" s="2" t="s">
        <v>62</v>
      </c>
      <c r="E103" s="10" t="s">
        <v>127</v>
      </c>
      <c r="F103" s="2"/>
      <c r="G103" s="2"/>
      <c r="H103" s="2" t="s">
        <v>414</v>
      </c>
      <c r="I103" s="2" t="s">
        <v>415</v>
      </c>
      <c r="J103" s="2" t="s">
        <v>416</v>
      </c>
      <c r="K103" s="2" t="s">
        <v>33</v>
      </c>
      <c r="L103" s="2" t="s">
        <v>54</v>
      </c>
      <c r="M103" s="2" t="s">
        <v>73</v>
      </c>
      <c r="N103" s="2"/>
      <c r="O103" s="7" t="s">
        <v>417</v>
      </c>
      <c r="P103" s="2"/>
      <c r="Q103" s="2"/>
      <c r="R103" s="2" t="s">
        <v>418</v>
      </c>
    </row>
    <row r="104" spans="1:18" ht="42" x14ac:dyDescent="0.2">
      <c r="A104" s="2">
        <v>21</v>
      </c>
      <c r="B104" s="2" t="s">
        <v>173</v>
      </c>
      <c r="C104" s="2" t="s">
        <v>174</v>
      </c>
      <c r="D104" s="2" t="s">
        <v>62</v>
      </c>
      <c r="E104" s="10" t="s">
        <v>127</v>
      </c>
      <c r="F104" s="2"/>
      <c r="G104" s="2"/>
      <c r="H104" s="2" t="s">
        <v>176</v>
      </c>
      <c r="I104" s="2" t="s">
        <v>419</v>
      </c>
      <c r="J104" s="2" t="s">
        <v>420</v>
      </c>
      <c r="K104" s="2" t="s">
        <v>33</v>
      </c>
      <c r="L104" s="2" t="s">
        <v>54</v>
      </c>
      <c r="M104" s="2" t="s">
        <v>48</v>
      </c>
      <c r="N104" s="2"/>
      <c r="O104" s="2" t="s">
        <v>36</v>
      </c>
      <c r="P104" s="2"/>
      <c r="Q104" s="2"/>
      <c r="R104" s="2" t="s">
        <v>421</v>
      </c>
    </row>
    <row r="105" spans="1:18" ht="42" x14ac:dyDescent="0.2">
      <c r="A105" s="2">
        <v>21</v>
      </c>
      <c r="B105" s="2" t="s">
        <v>173</v>
      </c>
      <c r="C105" s="2" t="s">
        <v>174</v>
      </c>
      <c r="D105" s="2" t="s">
        <v>62</v>
      </c>
      <c r="E105" s="10" t="s">
        <v>127</v>
      </c>
      <c r="F105" s="2"/>
      <c r="G105" s="2"/>
      <c r="H105" s="2" t="s">
        <v>422</v>
      </c>
      <c r="I105" s="2" t="s">
        <v>423</v>
      </c>
      <c r="J105" s="2" t="s">
        <v>424</v>
      </c>
      <c r="K105" s="2" t="s">
        <v>33</v>
      </c>
      <c r="L105" s="2" t="s">
        <v>425</v>
      </c>
      <c r="M105" s="2" t="s">
        <v>48</v>
      </c>
      <c r="N105" s="2"/>
      <c r="O105" s="2" t="s">
        <v>36</v>
      </c>
      <c r="P105" s="2"/>
      <c r="Q105" s="2"/>
      <c r="R105" s="2" t="s">
        <v>426</v>
      </c>
    </row>
    <row r="106" spans="1:18" ht="56" x14ac:dyDescent="0.2">
      <c r="A106" s="2">
        <v>21</v>
      </c>
      <c r="B106" s="2" t="s">
        <v>173</v>
      </c>
      <c r="C106" s="2" t="s">
        <v>174</v>
      </c>
      <c r="D106" s="2" t="s">
        <v>62</v>
      </c>
      <c r="E106" s="10" t="s">
        <v>127</v>
      </c>
      <c r="F106" s="2"/>
      <c r="G106" s="2"/>
      <c r="H106" s="2" t="s">
        <v>427</v>
      </c>
      <c r="I106" s="2" t="s">
        <v>428</v>
      </c>
      <c r="J106" s="2" t="s">
        <v>429</v>
      </c>
      <c r="K106" s="5" t="s">
        <v>46</v>
      </c>
      <c r="L106" s="2" t="s">
        <v>54</v>
      </c>
      <c r="M106" s="2" t="s">
        <v>48</v>
      </c>
      <c r="N106" s="2"/>
      <c r="O106" s="2" t="s">
        <v>36</v>
      </c>
      <c r="P106" s="2"/>
      <c r="Q106" s="2"/>
      <c r="R106" s="2" t="s">
        <v>430</v>
      </c>
    </row>
    <row r="107" spans="1:18" ht="70" x14ac:dyDescent="0.2">
      <c r="A107" s="2">
        <v>20</v>
      </c>
      <c r="B107" s="2" t="s">
        <v>166</v>
      </c>
      <c r="C107" s="2" t="s">
        <v>167</v>
      </c>
      <c r="D107" s="2" t="s">
        <v>168</v>
      </c>
      <c r="E107" s="10" t="s">
        <v>127</v>
      </c>
      <c r="F107" s="2"/>
      <c r="G107" s="2"/>
      <c r="H107" s="2" t="s">
        <v>169</v>
      </c>
      <c r="I107" s="2" t="s">
        <v>431</v>
      </c>
      <c r="J107" s="2" t="s">
        <v>432</v>
      </c>
      <c r="K107" s="5" t="s">
        <v>46</v>
      </c>
      <c r="L107" s="2" t="s">
        <v>433</v>
      </c>
      <c r="M107" s="2" t="s">
        <v>153</v>
      </c>
      <c r="N107" s="2"/>
      <c r="O107" s="6" t="s">
        <v>49</v>
      </c>
      <c r="P107" s="2"/>
      <c r="Q107" s="2"/>
      <c r="R107" s="2" t="s">
        <v>434</v>
      </c>
    </row>
    <row r="108" spans="1:18" ht="56" x14ac:dyDescent="0.2">
      <c r="A108" s="2">
        <v>11</v>
      </c>
      <c r="B108" s="2" t="s">
        <v>108</v>
      </c>
      <c r="C108" s="2" t="s">
        <v>109</v>
      </c>
      <c r="D108" s="2" t="s">
        <v>62</v>
      </c>
      <c r="E108" s="9" t="s">
        <v>110</v>
      </c>
      <c r="F108" s="2"/>
      <c r="G108" s="2"/>
      <c r="H108" s="2" t="s">
        <v>435</v>
      </c>
      <c r="I108" s="2" t="s">
        <v>436</v>
      </c>
      <c r="J108" s="2" t="s">
        <v>437</v>
      </c>
      <c r="K108" s="2" t="s">
        <v>33</v>
      </c>
      <c r="L108" s="2" t="s">
        <v>54</v>
      </c>
      <c r="M108" s="2" t="s">
        <v>113</v>
      </c>
      <c r="N108" s="2"/>
      <c r="O108" s="2" t="s">
        <v>36</v>
      </c>
      <c r="P108" s="2"/>
      <c r="Q108" s="2"/>
      <c r="R108" s="2" t="s">
        <v>438</v>
      </c>
    </row>
    <row r="109" spans="1:18" ht="70" x14ac:dyDescent="0.2">
      <c r="A109" s="2">
        <v>19</v>
      </c>
      <c r="B109" s="2" t="s">
        <v>159</v>
      </c>
      <c r="C109" s="2" t="s">
        <v>160</v>
      </c>
      <c r="D109" s="2" t="s">
        <v>144</v>
      </c>
      <c r="E109" s="10" t="s">
        <v>127</v>
      </c>
      <c r="F109" s="2"/>
      <c r="G109" s="2"/>
      <c r="H109" s="2" t="s">
        <v>439</v>
      </c>
      <c r="I109" s="2" t="s">
        <v>440</v>
      </c>
      <c r="J109" s="2" t="s">
        <v>441</v>
      </c>
      <c r="K109" s="5" t="s">
        <v>46</v>
      </c>
      <c r="L109" s="2" t="s">
        <v>316</v>
      </c>
      <c r="M109" s="2" t="s">
        <v>122</v>
      </c>
      <c r="N109" s="2" t="s">
        <v>74</v>
      </c>
      <c r="O109" s="6" t="s">
        <v>49</v>
      </c>
      <c r="P109" s="2"/>
      <c r="Q109" s="2"/>
      <c r="R109" s="2" t="s">
        <v>442</v>
      </c>
    </row>
    <row r="110" spans="1:18" ht="56" x14ac:dyDescent="0.2">
      <c r="A110" s="2">
        <v>19</v>
      </c>
      <c r="B110" s="2" t="s">
        <v>159</v>
      </c>
      <c r="C110" s="2" t="s">
        <v>160</v>
      </c>
      <c r="D110" s="2" t="s">
        <v>144</v>
      </c>
      <c r="E110" s="10" t="s">
        <v>127</v>
      </c>
      <c r="F110" s="2"/>
      <c r="G110" s="2"/>
      <c r="H110" s="2" t="s">
        <v>443</v>
      </c>
      <c r="I110" s="2" t="s">
        <v>444</v>
      </c>
      <c r="J110" s="2" t="s">
        <v>445</v>
      </c>
      <c r="K110" s="5" t="s">
        <v>46</v>
      </c>
      <c r="L110" s="2" t="s">
        <v>446</v>
      </c>
      <c r="M110" s="2" t="s">
        <v>122</v>
      </c>
      <c r="N110" s="2" t="s">
        <v>74</v>
      </c>
      <c r="O110" s="6" t="s">
        <v>49</v>
      </c>
      <c r="P110" s="2"/>
      <c r="Q110" s="2"/>
      <c r="R110" s="2" t="s">
        <v>447</v>
      </c>
    </row>
    <row r="111" spans="1:18" ht="42" x14ac:dyDescent="0.2">
      <c r="A111" s="2">
        <v>19</v>
      </c>
      <c r="B111" s="2" t="s">
        <v>159</v>
      </c>
      <c r="C111" s="2" t="s">
        <v>160</v>
      </c>
      <c r="D111" s="2" t="s">
        <v>144</v>
      </c>
      <c r="E111" s="10" t="s">
        <v>127</v>
      </c>
      <c r="F111" s="2"/>
      <c r="G111" s="2"/>
      <c r="H111" s="2" t="s">
        <v>448</v>
      </c>
      <c r="I111" s="2" t="s">
        <v>449</v>
      </c>
      <c r="J111" s="2" t="s">
        <v>450</v>
      </c>
      <c r="K111" s="5" t="s">
        <v>46</v>
      </c>
      <c r="L111" s="2" t="s">
        <v>298</v>
      </c>
      <c r="M111" s="2" t="s">
        <v>122</v>
      </c>
      <c r="N111" s="2" t="s">
        <v>74</v>
      </c>
      <c r="O111" s="6" t="s">
        <v>49</v>
      </c>
      <c r="P111" s="2"/>
      <c r="Q111" s="2"/>
      <c r="R111" s="2" t="s">
        <v>451</v>
      </c>
    </row>
  </sheetData>
  <autoFilter ref="A1:R65" xr:uid="{00000000-0009-0000-0000-000000000000}"/>
  <mergeCells count="1">
    <mergeCell ref="H67:L6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zoomScaleNormal="100" workbookViewId="0">
      <pane ySplit="1" topLeftCell="A2" activePane="bottomLeft" state="frozen"/>
      <selection pane="bottomLeft" activeCell="L8" sqref="L8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38" customWidth="1"/>
    <col min="4" max="4" width="18" customWidth="1"/>
    <col min="5" max="5" width="10" customWidth="1"/>
    <col min="6" max="7" width="14" customWidth="1"/>
    <col min="8" max="8" width="11" customWidth="1"/>
    <col min="9" max="9" width="22" customWidth="1"/>
    <col min="10" max="10" width="12" customWidth="1"/>
    <col min="11" max="11" width="60" customWidth="1"/>
  </cols>
  <sheetData>
    <row r="1" spans="1:11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452</v>
      </c>
      <c r="I1" s="1" t="s">
        <v>12</v>
      </c>
      <c r="J1" s="1" t="s">
        <v>453</v>
      </c>
      <c r="K1" s="1" t="s">
        <v>17</v>
      </c>
    </row>
    <row r="2" spans="1:11" ht="23.25" customHeight="1" x14ac:dyDescent="0.2">
      <c r="A2" s="2">
        <v>1</v>
      </c>
      <c r="B2" s="2" t="s">
        <v>18</v>
      </c>
      <c r="C2" s="2" t="s">
        <v>19</v>
      </c>
      <c r="D2" s="2" t="s">
        <v>20</v>
      </c>
      <c r="E2" s="3" t="s">
        <v>21</v>
      </c>
      <c r="F2" s="4">
        <v>150829686</v>
      </c>
      <c r="G2" s="4">
        <f t="shared" ref="G2:G36" si="0">F2*0.7</f>
        <v>105580780.19999999</v>
      </c>
      <c r="H2" s="2">
        <v>1</v>
      </c>
      <c r="I2" s="2" t="s">
        <v>24</v>
      </c>
      <c r="J2" s="2"/>
      <c r="K2" s="2" t="s">
        <v>26</v>
      </c>
    </row>
    <row r="3" spans="1:11" ht="23.25" customHeight="1" x14ac:dyDescent="0.2">
      <c r="A3" s="2">
        <v>2</v>
      </c>
      <c r="B3" s="19" t="s">
        <v>27</v>
      </c>
      <c r="C3" s="19" t="s">
        <v>28</v>
      </c>
      <c r="D3" s="19" t="s">
        <v>29</v>
      </c>
      <c r="E3" s="22" t="s">
        <v>21</v>
      </c>
      <c r="F3" s="21">
        <v>53911368</v>
      </c>
      <c r="G3" s="21">
        <f t="shared" si="0"/>
        <v>37737957.599999994</v>
      </c>
      <c r="H3" s="19">
        <v>2</v>
      </c>
      <c r="I3" s="19" t="s">
        <v>35</v>
      </c>
      <c r="J3" s="19"/>
      <c r="K3" s="19" t="s">
        <v>480</v>
      </c>
    </row>
    <row r="4" spans="1:11" ht="15" customHeight="1" x14ac:dyDescent="0.2">
      <c r="A4" s="2">
        <v>3</v>
      </c>
      <c r="B4" s="2" t="s">
        <v>40</v>
      </c>
      <c r="C4" s="2" t="s">
        <v>41</v>
      </c>
      <c r="D4" s="2" t="s">
        <v>42</v>
      </c>
      <c r="E4" s="3" t="s">
        <v>21</v>
      </c>
      <c r="F4" s="4">
        <v>46999953</v>
      </c>
      <c r="G4" s="4">
        <f t="shared" si="0"/>
        <v>32899967.099999998</v>
      </c>
      <c r="H4" s="2">
        <v>3</v>
      </c>
      <c r="I4" s="2" t="s">
        <v>48</v>
      </c>
      <c r="J4" s="2"/>
      <c r="K4" s="2" t="s">
        <v>59</v>
      </c>
    </row>
    <row r="5" spans="1:11" ht="23.25" customHeight="1" x14ac:dyDescent="0.2">
      <c r="A5" s="2">
        <v>4</v>
      </c>
      <c r="B5" s="2" t="s">
        <v>60</v>
      </c>
      <c r="C5" s="2" t="s">
        <v>61</v>
      </c>
      <c r="D5" s="2" t="s">
        <v>62</v>
      </c>
      <c r="E5" s="3" t="s">
        <v>21</v>
      </c>
      <c r="F5" s="4">
        <v>45596691</v>
      </c>
      <c r="G5" s="4">
        <f t="shared" si="0"/>
        <v>31917683.699999999</v>
      </c>
      <c r="H5" s="2">
        <v>3</v>
      </c>
      <c r="I5" s="2" t="s">
        <v>65</v>
      </c>
      <c r="J5" s="2"/>
      <c r="K5" s="2" t="s">
        <v>68</v>
      </c>
    </row>
    <row r="6" spans="1:11" ht="15" customHeight="1" x14ac:dyDescent="0.2">
      <c r="A6" s="2">
        <v>5</v>
      </c>
      <c r="B6" s="2" t="s">
        <v>69</v>
      </c>
      <c r="C6" s="2" t="s">
        <v>70</v>
      </c>
      <c r="D6" s="2" t="s">
        <v>62</v>
      </c>
      <c r="E6" s="3" t="s">
        <v>21</v>
      </c>
      <c r="F6" s="4">
        <v>42351939</v>
      </c>
      <c r="G6" s="4">
        <f t="shared" si="0"/>
        <v>29646357.299999997</v>
      </c>
      <c r="H6" s="2">
        <v>2</v>
      </c>
      <c r="I6" s="2" t="s">
        <v>73</v>
      </c>
      <c r="J6" s="2" t="s">
        <v>74</v>
      </c>
      <c r="K6" s="2" t="s">
        <v>454</v>
      </c>
    </row>
    <row r="7" spans="1:11" ht="15" customHeight="1" x14ac:dyDescent="0.2">
      <c r="A7" s="2">
        <v>6</v>
      </c>
      <c r="B7" s="2" t="s">
        <v>77</v>
      </c>
      <c r="C7" s="2" t="s">
        <v>78</v>
      </c>
      <c r="D7" s="2" t="s">
        <v>79</v>
      </c>
      <c r="E7" s="3" t="s">
        <v>21</v>
      </c>
      <c r="F7" s="4">
        <v>39370590</v>
      </c>
      <c r="G7" s="4">
        <f t="shared" si="0"/>
        <v>27559413</v>
      </c>
      <c r="H7" s="2">
        <v>2</v>
      </c>
      <c r="I7" s="2" t="s">
        <v>48</v>
      </c>
      <c r="J7" s="2"/>
      <c r="K7" s="2" t="s">
        <v>82</v>
      </c>
    </row>
    <row r="8" spans="1:11" ht="15" customHeight="1" x14ac:dyDescent="0.2">
      <c r="A8" s="2">
        <v>7</v>
      </c>
      <c r="B8" s="2" t="s">
        <v>85</v>
      </c>
      <c r="C8" s="2" t="s">
        <v>86</v>
      </c>
      <c r="D8" s="2" t="s">
        <v>87</v>
      </c>
      <c r="E8" s="3" t="s">
        <v>21</v>
      </c>
      <c r="F8" s="4">
        <v>29573397</v>
      </c>
      <c r="G8" s="4">
        <f t="shared" si="0"/>
        <v>20701377.899999999</v>
      </c>
      <c r="H8" s="2">
        <v>2</v>
      </c>
      <c r="I8" s="2" t="s">
        <v>48</v>
      </c>
      <c r="J8" s="2"/>
      <c r="K8" s="2"/>
    </row>
    <row r="9" spans="1:11" ht="23.25" customHeight="1" x14ac:dyDescent="0.2">
      <c r="A9" s="2">
        <v>8</v>
      </c>
      <c r="B9" s="2" t="s">
        <v>93</v>
      </c>
      <c r="C9" s="2" t="s">
        <v>94</v>
      </c>
      <c r="D9" s="2" t="s">
        <v>62</v>
      </c>
      <c r="E9" s="8" t="s">
        <v>95</v>
      </c>
      <c r="F9" s="4">
        <v>29279691</v>
      </c>
      <c r="G9" s="4">
        <f t="shared" si="0"/>
        <v>20495783.699999999</v>
      </c>
      <c r="H9" s="2">
        <v>1</v>
      </c>
      <c r="I9" s="2" t="s">
        <v>73</v>
      </c>
      <c r="J9" s="2" t="s">
        <v>74</v>
      </c>
      <c r="K9" s="2" t="s">
        <v>97</v>
      </c>
    </row>
    <row r="10" spans="1:11" ht="15" customHeight="1" x14ac:dyDescent="0.2">
      <c r="A10" s="2">
        <v>9</v>
      </c>
      <c r="B10" s="2" t="s">
        <v>98</v>
      </c>
      <c r="C10" s="2" t="s">
        <v>99</v>
      </c>
      <c r="D10" s="2" t="s">
        <v>62</v>
      </c>
      <c r="E10" s="3" t="s">
        <v>21</v>
      </c>
      <c r="F10" s="4">
        <v>18372942</v>
      </c>
      <c r="G10" s="4">
        <f t="shared" si="0"/>
        <v>12861059.399999999</v>
      </c>
      <c r="H10" s="2">
        <v>2</v>
      </c>
      <c r="I10" s="2" t="s">
        <v>73</v>
      </c>
      <c r="J10" s="2"/>
      <c r="K10" s="2" t="s">
        <v>101</v>
      </c>
    </row>
    <row r="11" spans="1:11" ht="15" customHeight="1" x14ac:dyDescent="0.2">
      <c r="A11" s="2">
        <v>10</v>
      </c>
      <c r="B11" s="2" t="s">
        <v>102</v>
      </c>
      <c r="C11" s="2" t="s">
        <v>103</v>
      </c>
      <c r="D11" s="2" t="s">
        <v>62</v>
      </c>
      <c r="E11" s="3" t="s">
        <v>21</v>
      </c>
      <c r="F11" s="4">
        <v>17764551</v>
      </c>
      <c r="G11" s="4">
        <f t="shared" si="0"/>
        <v>12435185.699999999</v>
      </c>
      <c r="H11" s="2">
        <v>2</v>
      </c>
      <c r="I11" s="2" t="s">
        <v>73</v>
      </c>
      <c r="J11" s="2"/>
      <c r="K11" s="2" t="s">
        <v>105</v>
      </c>
    </row>
    <row r="12" spans="1:11" ht="15" customHeight="1" x14ac:dyDescent="0.2">
      <c r="A12" s="2">
        <v>11</v>
      </c>
      <c r="B12" s="19" t="s">
        <v>108</v>
      </c>
      <c r="C12" s="19" t="s">
        <v>109</v>
      </c>
      <c r="D12" s="19" t="s">
        <v>62</v>
      </c>
      <c r="E12" s="23" t="s">
        <v>110</v>
      </c>
      <c r="F12" s="21">
        <v>13724928</v>
      </c>
      <c r="G12" s="21">
        <f t="shared" si="0"/>
        <v>9607449.5999999996</v>
      </c>
      <c r="H12" s="19">
        <v>3</v>
      </c>
      <c r="I12" s="19" t="s">
        <v>113</v>
      </c>
      <c r="J12" s="19"/>
      <c r="K12" s="19" t="s">
        <v>114</v>
      </c>
    </row>
    <row r="13" spans="1:11" ht="15" customHeight="1" x14ac:dyDescent="0.2">
      <c r="A13" s="2">
        <v>12</v>
      </c>
      <c r="B13" s="19" t="s">
        <v>118</v>
      </c>
      <c r="C13" s="19" t="s">
        <v>119</v>
      </c>
      <c r="D13" s="19" t="s">
        <v>120</v>
      </c>
      <c r="E13" s="22" t="s">
        <v>21</v>
      </c>
      <c r="F13" s="21">
        <v>13090896</v>
      </c>
      <c r="G13" s="21">
        <f t="shared" si="0"/>
        <v>9163627.1999999993</v>
      </c>
      <c r="H13" s="19">
        <v>2</v>
      </c>
      <c r="I13" s="19" t="s">
        <v>122</v>
      </c>
      <c r="J13" s="19" t="s">
        <v>74</v>
      </c>
      <c r="K13" s="19" t="s">
        <v>455</v>
      </c>
    </row>
    <row r="14" spans="1:11" ht="15" customHeight="1" x14ac:dyDescent="0.2">
      <c r="A14" s="2">
        <v>13</v>
      </c>
      <c r="B14" s="2" t="s">
        <v>125</v>
      </c>
      <c r="C14" s="2" t="s">
        <v>126</v>
      </c>
      <c r="D14" s="2" t="s">
        <v>79</v>
      </c>
      <c r="E14" s="10" t="s">
        <v>127</v>
      </c>
      <c r="F14" s="4">
        <v>12524463</v>
      </c>
      <c r="G14" s="4">
        <f t="shared" si="0"/>
        <v>8767124.0999999996</v>
      </c>
      <c r="H14" s="2">
        <v>1</v>
      </c>
      <c r="I14" s="2" t="s">
        <v>130</v>
      </c>
      <c r="J14" s="2"/>
      <c r="K14" s="2" t="s">
        <v>131</v>
      </c>
    </row>
    <row r="15" spans="1:11" ht="15" customHeight="1" x14ac:dyDescent="0.2">
      <c r="A15" s="2">
        <v>14</v>
      </c>
      <c r="B15" s="2" t="s">
        <v>132</v>
      </c>
      <c r="C15" s="2" t="s">
        <v>133</v>
      </c>
      <c r="D15" s="2" t="s">
        <v>120</v>
      </c>
      <c r="E15" s="10" t="s">
        <v>127</v>
      </c>
      <c r="F15" s="4">
        <v>11354301</v>
      </c>
      <c r="G15" s="4">
        <f t="shared" si="0"/>
        <v>7948010.6999999993</v>
      </c>
      <c r="H15" s="2">
        <v>2</v>
      </c>
      <c r="I15" s="2" t="s">
        <v>48</v>
      </c>
      <c r="J15" s="2"/>
      <c r="K15" s="2"/>
    </row>
    <row r="16" spans="1:11" ht="23.25" customHeight="1" x14ac:dyDescent="0.2">
      <c r="A16" s="2">
        <v>15</v>
      </c>
      <c r="B16" s="2" t="s">
        <v>137</v>
      </c>
      <c r="C16" s="2" t="s">
        <v>138</v>
      </c>
      <c r="D16" s="2" t="s">
        <v>62</v>
      </c>
      <c r="E16" s="10" t="s">
        <v>127</v>
      </c>
      <c r="F16" s="4">
        <v>8536122</v>
      </c>
      <c r="G16" s="4">
        <f t="shared" si="0"/>
        <v>5975285.3999999994</v>
      </c>
      <c r="H16" s="2">
        <v>2</v>
      </c>
      <c r="I16" s="2" t="s">
        <v>73</v>
      </c>
      <c r="J16" s="2"/>
      <c r="K16" s="2" t="s">
        <v>141</v>
      </c>
    </row>
    <row r="17" spans="1:11" ht="15" customHeight="1" x14ac:dyDescent="0.2">
      <c r="A17" s="2">
        <v>16</v>
      </c>
      <c r="B17" s="2" t="s">
        <v>142</v>
      </c>
      <c r="C17" s="2" t="s">
        <v>143</v>
      </c>
      <c r="D17" s="2" t="s">
        <v>144</v>
      </c>
      <c r="E17" s="10" t="s">
        <v>127</v>
      </c>
      <c r="F17" s="4">
        <v>6421905</v>
      </c>
      <c r="G17" s="4">
        <f t="shared" si="0"/>
        <v>4495333.5</v>
      </c>
      <c r="H17" s="2">
        <v>2</v>
      </c>
      <c r="I17" s="2" t="s">
        <v>122</v>
      </c>
      <c r="J17" s="2" t="s">
        <v>74</v>
      </c>
      <c r="K17" s="2" t="s">
        <v>456</v>
      </c>
    </row>
    <row r="18" spans="1:11" ht="15" customHeight="1" x14ac:dyDescent="0.2">
      <c r="A18" s="2">
        <v>17</v>
      </c>
      <c r="B18" s="2" t="s">
        <v>149</v>
      </c>
      <c r="C18" s="2" t="s">
        <v>150</v>
      </c>
      <c r="D18" s="2" t="s">
        <v>62</v>
      </c>
      <c r="E18" s="10" t="s">
        <v>127</v>
      </c>
      <c r="F18" s="4">
        <v>5841486</v>
      </c>
      <c r="G18" s="4">
        <f t="shared" si="0"/>
        <v>4089040.1999999997</v>
      </c>
      <c r="H18" s="2">
        <v>2</v>
      </c>
      <c r="I18" s="2" t="s">
        <v>153</v>
      </c>
      <c r="J18" s="2"/>
      <c r="K18" s="2" t="s">
        <v>154</v>
      </c>
    </row>
    <row r="19" spans="1:11" ht="15" customHeight="1" x14ac:dyDescent="0.2">
      <c r="A19" s="2">
        <v>18</v>
      </c>
      <c r="B19" s="2" t="s">
        <v>155</v>
      </c>
      <c r="C19" s="2" t="s">
        <v>156</v>
      </c>
      <c r="D19" s="2" t="s">
        <v>62</v>
      </c>
      <c r="E19" s="10" t="s">
        <v>127</v>
      </c>
      <c r="F19" s="4">
        <v>5601393</v>
      </c>
      <c r="G19" s="4">
        <f t="shared" si="0"/>
        <v>3920975.0999999996</v>
      </c>
      <c r="H19" s="2">
        <v>2</v>
      </c>
      <c r="I19" s="2" t="s">
        <v>73</v>
      </c>
      <c r="J19" s="2"/>
      <c r="K19" s="2"/>
    </row>
    <row r="20" spans="1:11" ht="15" customHeight="1" x14ac:dyDescent="0.2">
      <c r="A20" s="2">
        <v>19</v>
      </c>
      <c r="B20" s="2" t="s">
        <v>159</v>
      </c>
      <c r="C20" s="2" t="s">
        <v>160</v>
      </c>
      <c r="D20" s="2" t="s">
        <v>144</v>
      </c>
      <c r="E20" s="10" t="s">
        <v>127</v>
      </c>
      <c r="F20" s="4">
        <v>5554773</v>
      </c>
      <c r="G20" s="4">
        <f t="shared" si="0"/>
        <v>3888341.0999999996</v>
      </c>
      <c r="H20" s="2">
        <v>2</v>
      </c>
      <c r="I20" s="2" t="s">
        <v>122</v>
      </c>
      <c r="J20" s="2" t="s">
        <v>74</v>
      </c>
      <c r="K20" s="2" t="s">
        <v>457</v>
      </c>
    </row>
    <row r="21" spans="1:11" ht="15" customHeight="1" x14ac:dyDescent="0.2">
      <c r="A21" s="2">
        <v>20</v>
      </c>
      <c r="B21" s="19" t="s">
        <v>166</v>
      </c>
      <c r="C21" s="19" t="s">
        <v>167</v>
      </c>
      <c r="D21" s="19" t="s">
        <v>168</v>
      </c>
      <c r="E21" s="22" t="s">
        <v>127</v>
      </c>
      <c r="F21" s="21">
        <v>5214447</v>
      </c>
      <c r="G21" s="21">
        <f t="shared" si="0"/>
        <v>3650112.9</v>
      </c>
      <c r="H21" s="19">
        <v>2</v>
      </c>
      <c r="I21" s="19" t="s">
        <v>153</v>
      </c>
      <c r="J21" s="19"/>
      <c r="K21" s="19" t="s">
        <v>170</v>
      </c>
    </row>
    <row r="22" spans="1:11" ht="15" customHeight="1" x14ac:dyDescent="0.2">
      <c r="A22" s="2">
        <v>21</v>
      </c>
      <c r="B22" s="2" t="s">
        <v>173</v>
      </c>
      <c r="C22" s="2" t="s">
        <v>174</v>
      </c>
      <c r="D22" s="2" t="s">
        <v>62</v>
      </c>
      <c r="E22" s="10" t="s">
        <v>127</v>
      </c>
      <c r="F22" s="4">
        <v>4503492</v>
      </c>
      <c r="G22" s="4">
        <f t="shared" si="0"/>
        <v>3152444.4</v>
      </c>
      <c r="H22" s="2">
        <v>3</v>
      </c>
      <c r="I22" s="2" t="s">
        <v>48</v>
      </c>
      <c r="J22" s="2"/>
      <c r="K22" s="2"/>
    </row>
    <row r="23" spans="1:11" ht="23.25" customHeight="1" x14ac:dyDescent="0.2">
      <c r="A23" s="2">
        <v>22</v>
      </c>
      <c r="B23" s="2" t="s">
        <v>177</v>
      </c>
      <c r="C23" s="2" t="s">
        <v>178</v>
      </c>
      <c r="D23" s="2" t="s">
        <v>179</v>
      </c>
      <c r="E23" s="11" t="s">
        <v>180</v>
      </c>
      <c r="F23" s="4">
        <v>3438225</v>
      </c>
      <c r="G23" s="4">
        <f t="shared" si="0"/>
        <v>2406757.5</v>
      </c>
      <c r="H23" s="2">
        <v>1</v>
      </c>
      <c r="I23" s="2" t="s">
        <v>182</v>
      </c>
      <c r="J23" s="2"/>
      <c r="K23" s="2" t="s">
        <v>183</v>
      </c>
    </row>
    <row r="24" spans="1:11" ht="15" customHeight="1" x14ac:dyDescent="0.2">
      <c r="A24" s="2">
        <v>23</v>
      </c>
      <c r="B24" s="2" t="s">
        <v>184</v>
      </c>
      <c r="C24" s="2" t="s">
        <v>185</v>
      </c>
      <c r="D24" s="2" t="s">
        <v>186</v>
      </c>
      <c r="E24" s="11" t="s">
        <v>180</v>
      </c>
      <c r="F24" s="4">
        <v>3016314</v>
      </c>
      <c r="G24" s="4">
        <f t="shared" si="0"/>
        <v>2111419.7999999998</v>
      </c>
      <c r="H24" s="2">
        <v>2</v>
      </c>
      <c r="I24" s="2" t="s">
        <v>73</v>
      </c>
      <c r="J24" s="2"/>
      <c r="K24" s="2"/>
    </row>
    <row r="25" spans="1:11" ht="15" customHeight="1" x14ac:dyDescent="0.2">
      <c r="A25" s="2">
        <v>24</v>
      </c>
      <c r="B25" s="19" t="s">
        <v>190</v>
      </c>
      <c r="C25" s="19" t="s">
        <v>191</v>
      </c>
      <c r="D25" s="19" t="s">
        <v>62</v>
      </c>
      <c r="E25" s="20" t="s">
        <v>192</v>
      </c>
      <c r="F25" s="21">
        <v>2163168</v>
      </c>
      <c r="G25" s="21">
        <f t="shared" si="0"/>
        <v>1514217.5999999999</v>
      </c>
      <c r="H25" s="19">
        <v>1</v>
      </c>
      <c r="I25" s="19" t="s">
        <v>153</v>
      </c>
      <c r="J25" s="19"/>
      <c r="K25" s="19" t="s">
        <v>195</v>
      </c>
    </row>
    <row r="26" spans="1:11" ht="15" customHeight="1" x14ac:dyDescent="0.2">
      <c r="A26" s="2">
        <v>25</v>
      </c>
      <c r="B26" s="2" t="s">
        <v>196</v>
      </c>
      <c r="C26" s="2" t="s">
        <v>197</v>
      </c>
      <c r="D26" s="2" t="s">
        <v>198</v>
      </c>
      <c r="E26" s="12" t="s">
        <v>192</v>
      </c>
      <c r="F26" s="4">
        <v>1815849</v>
      </c>
      <c r="G26" s="4">
        <f t="shared" si="0"/>
        <v>1271094.2999999998</v>
      </c>
      <c r="H26" s="2">
        <v>2</v>
      </c>
      <c r="I26" s="2" t="s">
        <v>73</v>
      </c>
      <c r="J26" s="2"/>
      <c r="K26" s="2"/>
    </row>
    <row r="27" spans="1:11" ht="15" customHeight="1" x14ac:dyDescent="0.2">
      <c r="A27" s="2">
        <v>26</v>
      </c>
      <c r="B27" s="2" t="s">
        <v>200</v>
      </c>
      <c r="C27" s="2" t="s">
        <v>201</v>
      </c>
      <c r="D27" s="2" t="s">
        <v>202</v>
      </c>
      <c r="E27" s="12" t="s">
        <v>192</v>
      </c>
      <c r="F27" s="4">
        <v>1801863</v>
      </c>
      <c r="G27" s="4">
        <f t="shared" si="0"/>
        <v>1261304.0999999999</v>
      </c>
      <c r="H27" s="2">
        <v>2</v>
      </c>
      <c r="I27" s="2" t="s">
        <v>73</v>
      </c>
      <c r="J27" s="2"/>
      <c r="K27" s="2" t="s">
        <v>204</v>
      </c>
    </row>
    <row r="28" spans="1:11" ht="15" customHeight="1" x14ac:dyDescent="0.2">
      <c r="A28" s="2">
        <v>27</v>
      </c>
      <c r="B28" s="2" t="s">
        <v>207</v>
      </c>
      <c r="C28" s="2" t="s">
        <v>208</v>
      </c>
      <c r="D28" s="2" t="s">
        <v>62</v>
      </c>
      <c r="E28" s="12" t="s">
        <v>192</v>
      </c>
      <c r="F28" s="4">
        <v>1731933</v>
      </c>
      <c r="G28" s="4">
        <f t="shared" si="0"/>
        <v>1212353.0999999999</v>
      </c>
      <c r="H28" s="2">
        <v>2</v>
      </c>
      <c r="I28" s="2" t="s">
        <v>73</v>
      </c>
      <c r="J28" s="2"/>
      <c r="K28" s="2"/>
    </row>
    <row r="29" spans="1:11" ht="15" customHeight="1" x14ac:dyDescent="0.2">
      <c r="A29" s="2">
        <v>28</v>
      </c>
      <c r="B29" s="2" t="s">
        <v>211</v>
      </c>
      <c r="C29" s="2" t="s">
        <v>212</v>
      </c>
      <c r="D29" s="2" t="s">
        <v>62</v>
      </c>
      <c r="E29" s="12" t="s">
        <v>192</v>
      </c>
      <c r="F29" s="4">
        <v>1703961</v>
      </c>
      <c r="G29" s="4">
        <f t="shared" si="0"/>
        <v>1192772.7</v>
      </c>
      <c r="H29" s="2">
        <v>1</v>
      </c>
      <c r="I29" s="2" t="s">
        <v>153</v>
      </c>
      <c r="J29" s="2"/>
      <c r="K29" s="2" t="s">
        <v>215</v>
      </c>
    </row>
    <row r="30" spans="1:11" ht="15" customHeight="1" x14ac:dyDescent="0.2">
      <c r="A30" s="2">
        <v>29</v>
      </c>
      <c r="B30" s="2" t="s">
        <v>216</v>
      </c>
      <c r="C30" s="2" t="s">
        <v>217</v>
      </c>
      <c r="D30" s="2" t="s">
        <v>218</v>
      </c>
      <c r="E30" s="12" t="s">
        <v>192</v>
      </c>
      <c r="F30" s="4">
        <v>1484847</v>
      </c>
      <c r="G30" s="4">
        <f t="shared" si="0"/>
        <v>1039392.8999999999</v>
      </c>
      <c r="H30" s="2">
        <v>1</v>
      </c>
      <c r="I30" s="2" t="s">
        <v>73</v>
      </c>
      <c r="J30" s="2"/>
      <c r="K30" s="2" t="s">
        <v>221</v>
      </c>
    </row>
    <row r="31" spans="1:11" ht="15" customHeight="1" x14ac:dyDescent="0.2">
      <c r="A31" s="2">
        <v>30</v>
      </c>
      <c r="B31" s="2" t="s">
        <v>222</v>
      </c>
      <c r="C31" s="2" t="s">
        <v>223</v>
      </c>
      <c r="D31" s="2" t="s">
        <v>224</v>
      </c>
      <c r="E31" s="12" t="s">
        <v>192</v>
      </c>
      <c r="F31" s="4">
        <v>871794</v>
      </c>
      <c r="G31" s="4">
        <f t="shared" si="0"/>
        <v>610255.79999999993</v>
      </c>
      <c r="H31" s="2">
        <v>2</v>
      </c>
      <c r="I31" s="2" t="s">
        <v>73</v>
      </c>
      <c r="J31" s="2"/>
      <c r="K31" s="2"/>
    </row>
    <row r="32" spans="1:11" ht="15" customHeight="1" x14ac:dyDescent="0.2">
      <c r="A32" s="2">
        <v>31</v>
      </c>
      <c r="B32" s="2" t="s">
        <v>226</v>
      </c>
      <c r="C32" s="2" t="s">
        <v>155</v>
      </c>
      <c r="D32" s="2" t="s">
        <v>62</v>
      </c>
      <c r="E32" s="12" t="s">
        <v>192</v>
      </c>
      <c r="F32" s="4">
        <v>792540</v>
      </c>
      <c r="G32" s="4">
        <f t="shared" si="0"/>
        <v>554778</v>
      </c>
      <c r="H32" s="2">
        <v>1</v>
      </c>
      <c r="I32" s="2" t="s">
        <v>228</v>
      </c>
      <c r="J32" s="2"/>
      <c r="K32" s="2" t="s">
        <v>229</v>
      </c>
    </row>
    <row r="33" spans="1:11" ht="23.25" customHeight="1" x14ac:dyDescent="0.2">
      <c r="A33" s="2">
        <v>32</v>
      </c>
      <c r="B33" s="2" t="s">
        <v>230</v>
      </c>
      <c r="C33" s="2" t="s">
        <v>231</v>
      </c>
      <c r="D33" s="2" t="s">
        <v>62</v>
      </c>
      <c r="E33" s="8" t="s">
        <v>95</v>
      </c>
      <c r="F33" s="4">
        <v>738927</v>
      </c>
      <c r="G33" s="4">
        <f t="shared" si="0"/>
        <v>517248.89999999997</v>
      </c>
      <c r="H33" s="2">
        <v>1</v>
      </c>
      <c r="I33" s="2" t="s">
        <v>233</v>
      </c>
      <c r="J33" s="2"/>
      <c r="K33" s="2" t="s">
        <v>234</v>
      </c>
    </row>
    <row r="34" spans="1:11" ht="15" customHeight="1" x14ac:dyDescent="0.2">
      <c r="A34" s="2">
        <v>33</v>
      </c>
      <c r="B34" s="2" t="s">
        <v>235</v>
      </c>
      <c r="C34" s="2" t="s">
        <v>236</v>
      </c>
      <c r="D34" s="2" t="s">
        <v>62</v>
      </c>
      <c r="E34" s="12" t="s">
        <v>192</v>
      </c>
      <c r="F34" s="4">
        <v>582750</v>
      </c>
      <c r="G34" s="4">
        <f t="shared" si="0"/>
        <v>407925</v>
      </c>
      <c r="H34" s="2">
        <v>1</v>
      </c>
      <c r="I34" s="2" t="s">
        <v>73</v>
      </c>
      <c r="J34" s="2"/>
      <c r="K34" s="2" t="s">
        <v>238</v>
      </c>
    </row>
    <row r="35" spans="1:11" ht="15" customHeight="1" x14ac:dyDescent="0.2">
      <c r="A35" s="2">
        <v>34</v>
      </c>
      <c r="B35" s="19" t="s">
        <v>239</v>
      </c>
      <c r="C35" s="2" t="s">
        <v>240</v>
      </c>
      <c r="D35" s="2" t="s">
        <v>241</v>
      </c>
      <c r="E35" s="12" t="s">
        <v>192</v>
      </c>
      <c r="F35" s="4">
        <v>487179</v>
      </c>
      <c r="G35" s="4">
        <f t="shared" si="0"/>
        <v>341025.3</v>
      </c>
      <c r="H35" s="2">
        <v>2</v>
      </c>
      <c r="I35" s="2" t="s">
        <v>73</v>
      </c>
      <c r="J35" s="2"/>
      <c r="K35" s="2" t="s">
        <v>244</v>
      </c>
    </row>
    <row r="36" spans="1:11" ht="15" customHeight="1" x14ac:dyDescent="0.2">
      <c r="A36" s="2">
        <v>35</v>
      </c>
      <c r="B36" s="2" t="s">
        <v>246</v>
      </c>
      <c r="C36" s="2" t="s">
        <v>247</v>
      </c>
      <c r="D36" s="2" t="s">
        <v>248</v>
      </c>
      <c r="E36" s="12" t="s">
        <v>192</v>
      </c>
      <c r="F36" s="4">
        <v>240093</v>
      </c>
      <c r="G36" s="4">
        <f t="shared" si="0"/>
        <v>168065.09999999998</v>
      </c>
      <c r="H36" s="2">
        <v>2</v>
      </c>
      <c r="I36" s="2" t="s">
        <v>250</v>
      </c>
      <c r="J36" s="2"/>
      <c r="K36" s="2" t="s">
        <v>251</v>
      </c>
    </row>
    <row r="37" spans="1:11" ht="15" customHeight="1" x14ac:dyDescent="0.2">
      <c r="E37" s="13" t="s">
        <v>458</v>
      </c>
      <c r="F37" s="14">
        <f>SUM(F2:F36)</f>
        <v>587288457</v>
      </c>
      <c r="G37" s="14">
        <f>SUM(G2:G36)</f>
        <v>411101919.89999998</v>
      </c>
      <c r="H37" s="15">
        <f>SUM(H2:H36)</f>
        <v>64</v>
      </c>
    </row>
    <row r="42" spans="1:11" x14ac:dyDescent="0.2">
      <c r="K42" t="s">
        <v>479</v>
      </c>
    </row>
  </sheetData>
  <autoFilter ref="A1:K3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Normal="100" workbookViewId="0">
      <selection activeCell="A31" sqref="A31"/>
    </sheetView>
  </sheetViews>
  <sheetFormatPr baseColWidth="10" defaultColWidth="8.6640625" defaultRowHeight="15" x14ac:dyDescent="0.2"/>
  <cols>
    <col min="1" max="1" width="110" customWidth="1"/>
  </cols>
  <sheetData>
    <row r="1" spans="1:1" ht="15" customHeight="1" x14ac:dyDescent="0.2">
      <c r="A1" s="16" t="s">
        <v>459</v>
      </c>
    </row>
    <row r="2" spans="1:1" ht="15" customHeight="1" x14ac:dyDescent="0.2">
      <c r="A2" s="17"/>
    </row>
    <row r="3" spans="1:1" ht="15" customHeight="1" x14ac:dyDescent="0.2">
      <c r="A3" s="17" t="s">
        <v>460</v>
      </c>
    </row>
    <row r="4" spans="1:1" ht="15" customHeight="1" x14ac:dyDescent="0.2">
      <c r="A4" s="17" t="s">
        <v>461</v>
      </c>
    </row>
    <row r="5" spans="1:1" ht="15" customHeight="1" x14ac:dyDescent="0.2">
      <c r="A5" s="17" t="s">
        <v>462</v>
      </c>
    </row>
    <row r="6" spans="1:1" ht="15" customHeight="1" x14ac:dyDescent="0.2">
      <c r="A6" s="17"/>
    </row>
    <row r="7" spans="1:1" ht="15" customHeight="1" x14ac:dyDescent="0.2">
      <c r="A7" s="16" t="s">
        <v>463</v>
      </c>
    </row>
    <row r="8" spans="1:1" ht="26.25" customHeight="1" x14ac:dyDescent="0.2">
      <c r="A8" s="17" t="s">
        <v>464</v>
      </c>
    </row>
    <row r="9" spans="1:1" ht="15" customHeight="1" x14ac:dyDescent="0.2">
      <c r="A9" s="17" t="s">
        <v>465</v>
      </c>
    </row>
    <row r="10" spans="1:1" ht="15" customHeight="1" x14ac:dyDescent="0.2">
      <c r="A10" s="17"/>
    </row>
    <row r="11" spans="1:1" ht="15" customHeight="1" x14ac:dyDescent="0.2">
      <c r="A11" s="16" t="s">
        <v>466</v>
      </c>
    </row>
    <row r="12" spans="1:1" ht="15" customHeight="1" x14ac:dyDescent="0.2">
      <c r="A12" s="17" t="s">
        <v>467</v>
      </c>
    </row>
    <row r="13" spans="1:1" ht="15" customHeight="1" x14ac:dyDescent="0.2">
      <c r="A13" s="17" t="s">
        <v>468</v>
      </c>
    </row>
    <row r="14" spans="1:1" ht="15" customHeight="1" x14ac:dyDescent="0.2">
      <c r="A14" s="17" t="s">
        <v>469</v>
      </c>
    </row>
    <row r="15" spans="1:1" ht="15" customHeight="1" x14ac:dyDescent="0.2">
      <c r="A15" s="17" t="s">
        <v>470</v>
      </c>
    </row>
    <row r="16" spans="1:1" ht="15" customHeight="1" x14ac:dyDescent="0.2">
      <c r="A16" s="17"/>
    </row>
    <row r="17" spans="1:1" ht="26.25" customHeight="1" x14ac:dyDescent="0.2">
      <c r="A17" s="17" t="s">
        <v>471</v>
      </c>
    </row>
    <row r="18" spans="1:1" ht="15" customHeight="1" x14ac:dyDescent="0.2">
      <c r="A18" s="17" t="s">
        <v>472</v>
      </c>
    </row>
    <row r="19" spans="1:1" ht="15" customHeight="1" x14ac:dyDescent="0.2">
      <c r="A19" s="17"/>
    </row>
    <row r="20" spans="1:1" ht="15" customHeight="1" x14ac:dyDescent="0.2">
      <c r="A20" s="16" t="s">
        <v>473</v>
      </c>
    </row>
    <row r="21" spans="1:1" ht="15" customHeight="1" x14ac:dyDescent="0.2">
      <c r="A21" s="17" t="s">
        <v>474</v>
      </c>
    </row>
    <row r="22" spans="1:1" ht="15" customHeight="1" x14ac:dyDescent="0.2">
      <c r="A22" s="17" t="s">
        <v>475</v>
      </c>
    </row>
    <row r="23" spans="1:1" ht="15" customHeight="1" x14ac:dyDescent="0.2">
      <c r="A23" s="17" t="s">
        <v>476</v>
      </c>
    </row>
    <row r="24" spans="1:1" ht="15" customHeight="1" x14ac:dyDescent="0.2">
      <c r="A24" s="17" t="s">
        <v>477</v>
      </c>
    </row>
    <row r="25" spans="1:1" ht="26.25" customHeight="1" x14ac:dyDescent="0.2">
      <c r="A25" s="17" t="s">
        <v>478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By Publisher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Glantz</cp:lastModifiedBy>
  <cp:revision>0</cp:revision>
  <dcterms:created xsi:type="dcterms:W3CDTF">2026-04-29T14:52:26Z</dcterms:created>
  <dcterms:modified xsi:type="dcterms:W3CDTF">2026-05-03T17:07:16Z</dcterms:modified>
  <dc:language>en-US</dc:language>
</cp:coreProperties>
</file>